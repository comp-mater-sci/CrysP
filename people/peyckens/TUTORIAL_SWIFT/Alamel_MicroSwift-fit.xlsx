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240" yWindow="108" windowWidth="14808" windowHeight="8016" activeTab="2"/>
  </bookViews>
  <sheets>
    <sheet name="exp uni0" sheetId="6" r:id="rId1"/>
    <sheet name="sid1687f_udsa_hard0.uds-fitting" sheetId="9" r:id="rId2"/>
    <sheet name="sid1687f_udsa_hard0.uds-verify" sheetId="7" r:id="rId3"/>
  </sheets>
  <definedNames>
    <definedName name="solver_adj" localSheetId="1" hidden="1">'sid1687f_udsa_hard0.uds-fitting'!$W$2:$W$4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'sid1687f_udsa_hard0.uds-fitting'!$T$2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52511"/>
</workbook>
</file>

<file path=xl/calcChain.xml><?xml version="1.0" encoding="utf-8"?>
<calcChain xmlns="http://schemas.openxmlformats.org/spreadsheetml/2006/main">
  <c r="R7" i="9" l="1"/>
  <c r="R4" i="9"/>
  <c r="R5" i="9"/>
  <c r="R6" i="9"/>
  <c r="R8" i="9"/>
  <c r="R9" i="9"/>
  <c r="R10" i="9"/>
  <c r="R11" i="9"/>
  <c r="R12" i="9"/>
  <c r="R13" i="9"/>
  <c r="R14" i="9"/>
  <c r="R15" i="9"/>
  <c r="R16" i="9"/>
  <c r="R17" i="9"/>
  <c r="R18" i="9"/>
  <c r="R3" i="9"/>
  <c r="S13" i="9"/>
  <c r="S12" i="9"/>
  <c r="S6" i="9"/>
  <c r="S5" i="9"/>
  <c r="S4" i="9"/>
  <c r="S3" i="9"/>
  <c r="S7" i="9"/>
  <c r="S8" i="9"/>
  <c r="S9" i="9"/>
  <c r="S10" i="9"/>
  <c r="S11" i="9"/>
  <c r="X11" i="9"/>
  <c r="W11" i="9"/>
  <c r="V11" i="9"/>
  <c r="T3" i="9" l="1"/>
  <c r="T10" i="9"/>
  <c r="T9" i="9"/>
  <c r="T8" i="9"/>
  <c r="T6" i="9"/>
  <c r="T5" i="9"/>
  <c r="T12" i="9"/>
  <c r="T4" i="9"/>
  <c r="T7" i="9"/>
  <c r="T11" i="9"/>
  <c r="T2" i="9" l="1"/>
</calcChain>
</file>

<file path=xl/sharedStrings.xml><?xml version="1.0" encoding="utf-8"?>
<sst xmlns="http://schemas.openxmlformats.org/spreadsheetml/2006/main" count="48" uniqueCount="31">
  <si>
    <t>eps_vM</t>
  </si>
  <si>
    <t>Pnorm</t>
  </si>
  <si>
    <t>W</t>
  </si>
  <si>
    <t>q-value</t>
  </si>
  <si>
    <t>TARGET</t>
  </si>
  <si>
    <t>SoS-error</t>
  </si>
  <si>
    <t>[MPa]</t>
  </si>
  <si>
    <t>GAMMA0=</t>
  </si>
  <si>
    <t>r-value</t>
  </si>
  <si>
    <t>s-value</t>
  </si>
  <si>
    <t>q-valueA</t>
  </si>
  <si>
    <t>r-valueA</t>
  </si>
  <si>
    <t>sigm_Swift</t>
  </si>
  <si>
    <t>tensile plastic (true) strain</t>
  </si>
  <si>
    <t>tensile stress (MPa)</t>
  </si>
  <si>
    <t># Components of the hardening law</t>
  </si>
  <si>
    <t xml:space="preserve"> # Hardening law Hid; </t>
  </si>
  <si>
    <t>Minimize</t>
  </si>
  <si>
    <t>by changing:</t>
  </si>
  <si>
    <t>N=</t>
  </si>
  <si>
    <t>Y0=</t>
  </si>
  <si>
    <t>increment</t>
  </si>
  <si>
    <t>||eps_xx||</t>
  </si>
  <si>
    <t>sigma_xx</t>
  </si>
  <si>
    <t>||S(A)_xx||</t>
  </si>
  <si>
    <t>dotW(A)</t>
  </si>
  <si>
    <t>M-factor</t>
  </si>
  <si>
    <t>||S(A)||</t>
  </si>
  <si>
    <t>residual</t>
  </si>
  <si>
    <t>sigma_approx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</si>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</sst>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0.000"/>
    <numFmt numFmtId="167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11" fontId="0" fillId="0" borderId="0" xfId="0" applyNumberFormat="1"/>
    <xf numFmtId="0" fontId="0" fillId="0" borderId="0" xfId="0" applyBorder="1"/>
    <xf numFmtId="0" fontId="0" fillId="0" borderId="0" xfId="0" applyFill="1" applyBorder="1"/>
    <xf numFmtId="165" fontId="0" fillId="0" borderId="0" xfId="0" applyNumberFormat="1"/>
    <xf numFmtId="0" fontId="0" fillId="0" borderId="2" xfId="0" applyBorder="1"/>
    <xf numFmtId="0" fontId="0" fillId="0" borderId="3" xfId="0" applyBorder="1"/>
    <xf numFmtId="2" fontId="0" fillId="0" borderId="4" xfId="0" applyNumberFormat="1" applyBorder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7" fontId="0" fillId="0" borderId="0" xfId="0" applyNumberFormat="1"/>
    <xf numFmtId="167" fontId="2" fillId="3" borderId="1" xfId="0" applyNumberFormat="1" applyFont="1" applyFill="1" applyBorder="1"/>
    <xf numFmtId="167" fontId="2" fillId="0" borderId="1" xfId="0" applyNumberFormat="1" applyFont="1" applyFill="1" applyBorder="1"/>
    <xf numFmtId="167" fontId="0" fillId="0" borderId="1" xfId="0" applyNumberFormat="1" applyBorder="1"/>
    <xf numFmtId="0" fontId="0" fillId="2" borderId="0" xfId="0" applyFill="1" applyBorder="1"/>
    <xf numFmtId="2" fontId="0" fillId="2" borderId="3" xfId="0" applyNumberFormat="1" applyFill="1" applyBorder="1"/>
    <xf numFmtId="165" fontId="0" fillId="2" borderId="8" xfId="0" applyNumberFormat="1" applyFill="1" applyBorder="1"/>
    <xf numFmtId="0" fontId="1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1" fillId="5" borderId="0" xfId="0" applyFont="1" applyFill="1" applyAlignment="1">
      <alignment horizontal="right" wrapText="1"/>
    </xf>
    <xf numFmtId="165" fontId="0" fillId="5" borderId="0" xfId="0" applyNumberFormat="1" applyFill="1"/>
    <xf numFmtId="0" fontId="1" fillId="6" borderId="0" xfId="0" applyFont="1" applyFill="1" applyAlignment="1">
      <alignment horizontal="right" wrapText="1"/>
    </xf>
    <xf numFmtId="167" fontId="2" fillId="6" borderId="1" xfId="0" applyNumberFormat="1" applyFont="1" applyFill="1" applyBorder="1"/>
    <xf numFmtId="0" fontId="0" fillId="7" borderId="0" xfId="0" applyFill="1"/>
    <xf numFmtId="2" fontId="0" fillId="7" borderId="0" xfId="0" applyNumberFormat="1" applyFill="1"/>
    <xf numFmtId="165" fontId="0" fillId="7" borderId="0" xfId="0" applyNumberFormat="1" applyFill="1"/>
    <xf numFmtId="11" fontId="3" fillId="2" borderId="0" xfId="0" applyNumberFormat="1" applyFont="1" applyFill="1"/>
    <xf numFmtId="0" fontId="4" fillId="2" borderId="0" xfId="0" applyFont="1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0" xfId="0" applyFill="1"/>
    <xf numFmtId="11" fontId="0" fillId="4" borderId="0" xfId="0" applyNumberFormat="1" applyFill="1"/>
    <xf numFmtId="2" fontId="0" fillId="6" borderId="0" xfId="0" applyNumberFormat="1" applyFill="1"/>
    <xf numFmtId="0" fontId="0" fillId="0" borderId="0" xfId="0" applyFill="1"/>
    <xf numFmtId="11" fontId="0" fillId="0" borderId="0" xfId="0" applyNumberFormat="1" applyFill="1"/>
    <xf numFmtId="11" fontId="0" fillId="2" borderId="0" xfId="0" applyNumberFormat="1" applyFill="1" applyBorder="1"/>
    <xf numFmtId="11" fontId="0" fillId="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Fitting result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'sid1687f_udsa_hard0.uds-fitting'!$R$1</c:f>
              <c:strCache>
                <c:ptCount val="1"/>
                <c:pt idx="0">
                  <c:v>sigma_approx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'sid1687f_udsa_hard0.uds-fitting'!$E$3:$E$18</c:f>
              <c:numCache>
                <c:formatCode>0.00E+00</c:formatCode>
                <c:ptCount val="16"/>
                <c:pt idx="0">
                  <c:v>0</c:v>
                </c:pt>
                <c:pt idx="1">
                  <c:v>1.7999999999999999E-2</c:v>
                </c:pt>
                <c:pt idx="2">
                  <c:v>3.5999999999999997E-2</c:v>
                </c:pt>
                <c:pt idx="3">
                  <c:v>5.3999999999999999E-2</c:v>
                </c:pt>
                <c:pt idx="4">
                  <c:v>7.1999999999999995E-2</c:v>
                </c:pt>
                <c:pt idx="5">
                  <c:v>0.09</c:v>
                </c:pt>
                <c:pt idx="6">
                  <c:v>0.108</c:v>
                </c:pt>
                <c:pt idx="7">
                  <c:v>0.126</c:v>
                </c:pt>
                <c:pt idx="8">
                  <c:v>0.14399999999999999</c:v>
                </c:pt>
                <c:pt idx="9">
                  <c:v>0.16200000000000001</c:v>
                </c:pt>
                <c:pt idx="10">
                  <c:v>0.18</c:v>
                </c:pt>
                <c:pt idx="11">
                  <c:v>0.19800000000000001</c:v>
                </c:pt>
                <c:pt idx="12">
                  <c:v>0.216</c:v>
                </c:pt>
                <c:pt idx="13">
                  <c:v>0.23400000000000001</c:v>
                </c:pt>
                <c:pt idx="14">
                  <c:v>0.252</c:v>
                </c:pt>
                <c:pt idx="15">
                  <c:v>0.27</c:v>
                </c:pt>
              </c:numCache>
            </c:numRef>
          </c:xVal>
          <c:yVal>
            <c:numRef>
              <c:f>'sid1687f_udsa_hard0.uds-fitting'!$R$3:$R$18</c:f>
              <c:numCache>
                <c:formatCode>0.0</c:formatCode>
                <c:ptCount val="16"/>
                <c:pt idx="0">
                  <c:v>112.82262439445772</c:v>
                </c:pt>
                <c:pt idx="1">
                  <c:v>162.15943236819814</c:v>
                </c:pt>
                <c:pt idx="2">
                  <c:v>186.40026593663575</c:v>
                </c:pt>
                <c:pt idx="3">
                  <c:v>203.55940911876485</c:v>
                </c:pt>
                <c:pt idx="4">
                  <c:v>217.15912904166603</c:v>
                </c:pt>
                <c:pt idx="5">
                  <c:v>228.62495628043499</c:v>
                </c:pt>
                <c:pt idx="6">
                  <c:v>238.6778592174492</c:v>
                </c:pt>
                <c:pt idx="7">
                  <c:v>247.37732020049546</c:v>
                </c:pt>
                <c:pt idx="8">
                  <c:v>255.4652441336784</c:v>
                </c:pt>
                <c:pt idx="9">
                  <c:v>262.79821954239458</c:v>
                </c:pt>
                <c:pt idx="10">
                  <c:v>269.64460730529169</c:v>
                </c:pt>
                <c:pt idx="11">
                  <c:v>276.03608815080361</c:v>
                </c:pt>
                <c:pt idx="12">
                  <c:v>282.00069973959666</c:v>
                </c:pt>
                <c:pt idx="13">
                  <c:v>287.70488201315868</c:v>
                </c:pt>
                <c:pt idx="14">
                  <c:v>293.07894559513835</c:v>
                </c:pt>
                <c:pt idx="15">
                  <c:v>298.31681462317931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'sid1687f_udsa_hard0.uds-fitting'!$S$1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 uni0'!$A$2:$A$12</c:f>
              <c:numCache>
                <c:formatCode>0.000</c:formatCode>
                <c:ptCount val="11"/>
                <c:pt idx="0">
                  <c:v>0</c:v>
                </c:pt>
                <c:pt idx="1">
                  <c:v>1.7999999999999999E-2</c:v>
                </c:pt>
                <c:pt idx="2">
                  <c:v>3.5999999999999997E-2</c:v>
                </c:pt>
                <c:pt idx="3">
                  <c:v>5.3999999999999999E-2</c:v>
                </c:pt>
                <c:pt idx="4">
                  <c:v>7.1999999999999995E-2</c:v>
                </c:pt>
                <c:pt idx="5">
                  <c:v>0.09</c:v>
                </c:pt>
                <c:pt idx="6">
                  <c:v>0.108</c:v>
                </c:pt>
                <c:pt idx="7">
                  <c:v>0.126</c:v>
                </c:pt>
                <c:pt idx="8">
                  <c:v>0.14399999999999999</c:v>
                </c:pt>
                <c:pt idx="9">
                  <c:v>0.16200000000000001</c:v>
                </c:pt>
                <c:pt idx="10">
                  <c:v>0.18</c:v>
                </c:pt>
              </c:numCache>
            </c:numRef>
          </c:xVal>
          <c:yVal>
            <c:numRef>
              <c:f>'exp uni0'!$B$2:$B$12</c:f>
              <c:numCache>
                <c:formatCode>0.00</c:formatCode>
                <c:ptCount val="11"/>
                <c:pt idx="0">
                  <c:v>112.82993587600001</c:v>
                </c:pt>
                <c:pt idx="1">
                  <c:v>162.1608530485961</c:v>
                </c:pt>
                <c:pt idx="2">
                  <c:v>186.35912080900974</c:v>
                </c:pt>
                <c:pt idx="3">
                  <c:v>203.57175825555296</c:v>
                </c:pt>
                <c:pt idx="4">
                  <c:v>217.16189922786879</c:v>
                </c:pt>
                <c:pt idx="5">
                  <c:v>228.6641974257617</c:v>
                </c:pt>
                <c:pt idx="6">
                  <c:v>238.67569995782011</c:v>
                </c:pt>
                <c:pt idx="7">
                  <c:v>247.4354509296252</c:v>
                </c:pt>
                <c:pt idx="8">
                  <c:v>255.33834393541034</c:v>
                </c:pt>
                <c:pt idx="9">
                  <c:v>262.84818314131314</c:v>
                </c:pt>
                <c:pt idx="10">
                  <c:v>269.69591368578972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385224"/>
        <c:axId val="250387968"/>
      </c:scatterChart>
      <c:valAx>
        <c:axId val="250385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50387968"/>
        <c:crosses val="autoZero"/>
        <c:crossBetween val="midCat"/>
      </c:valAx>
      <c:valAx>
        <c:axId val="25038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50385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Fitting verification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VEF-UDSA verification simulation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'sid1687f_udsa_hard0.uds-verify'!$E$3:$E$50</c:f>
              <c:numCache>
                <c:formatCode>0.00E+00</c:formatCode>
                <c:ptCount val="48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</c:numCache>
            </c:numRef>
          </c:xVal>
          <c:yVal>
            <c:numRef>
              <c:f>'sid1687f_udsa_hard0.uds-verify'!$F$3:$F$50</c:f>
              <c:numCache>
                <c:formatCode>0.00E+00</c:formatCode>
                <c:ptCount val="48"/>
                <c:pt idx="0">
                  <c:v>112.831715</c:v>
                </c:pt>
                <c:pt idx="1">
                  <c:v>146.534468</c:v>
                </c:pt>
                <c:pt idx="2">
                  <c:v>165.793553</c:v>
                </c:pt>
                <c:pt idx="3">
                  <c:v>179.70756600000001</c:v>
                </c:pt>
                <c:pt idx="4">
                  <c:v>190.99912599999999</c:v>
                </c:pt>
                <c:pt idx="5">
                  <c:v>200.49283500000001</c:v>
                </c:pt>
                <c:pt idx="6">
                  <c:v>208.836544</c:v>
                </c:pt>
                <c:pt idx="7">
                  <c:v>216.30183199999999</c:v>
                </c:pt>
                <c:pt idx="8">
                  <c:v>222.958111</c:v>
                </c:pt>
                <c:pt idx="9">
                  <c:v>229.17206300000001</c:v>
                </c:pt>
                <c:pt idx="10">
                  <c:v>234.79388</c:v>
                </c:pt>
                <c:pt idx="11">
                  <c:v>240.08387999999999</c:v>
                </c:pt>
                <c:pt idx="12">
                  <c:v>245.08228099999999</c:v>
                </c:pt>
                <c:pt idx="13">
                  <c:v>249.908106</c:v>
                </c:pt>
                <c:pt idx="14">
                  <c:v>254.30718999999999</c:v>
                </c:pt>
                <c:pt idx="15">
                  <c:v>258.38452999999998</c:v>
                </c:pt>
                <c:pt idx="16">
                  <c:v>262.58474000000001</c:v>
                </c:pt>
                <c:pt idx="17">
                  <c:v>266.528841</c:v>
                </c:pt>
                <c:pt idx="18">
                  <c:v>270.31909200000001</c:v>
                </c:pt>
                <c:pt idx="19">
                  <c:v>273.89547599999997</c:v>
                </c:pt>
                <c:pt idx="20">
                  <c:v>277.356942</c:v>
                </c:pt>
                <c:pt idx="21">
                  <c:v>280.73607399999997</c:v>
                </c:pt>
                <c:pt idx="22">
                  <c:v>284.06016</c:v>
                </c:pt>
                <c:pt idx="23">
                  <c:v>287.23801800000001</c:v>
                </c:pt>
                <c:pt idx="24">
                  <c:v>290.28733599999998</c:v>
                </c:pt>
                <c:pt idx="25">
                  <c:v>293.200042</c:v>
                </c:pt>
                <c:pt idx="26">
                  <c:v>296.18169999999998</c:v>
                </c:pt>
                <c:pt idx="27">
                  <c:v>299.06039800000002</c:v>
                </c:pt>
              </c:numCache>
            </c:numRef>
          </c:yVal>
          <c:smooth val="0"/>
        </c:ser>
        <c:ser>
          <c:idx val="1"/>
          <c:order val="1"/>
          <c:tx>
            <c:v>Exp. fitting data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 uni0'!$A$2:$A$12</c:f>
              <c:numCache>
                <c:formatCode>0.000</c:formatCode>
                <c:ptCount val="11"/>
                <c:pt idx="0">
                  <c:v>0</c:v>
                </c:pt>
                <c:pt idx="1">
                  <c:v>1.7999999999999999E-2</c:v>
                </c:pt>
                <c:pt idx="2">
                  <c:v>3.5999999999999997E-2</c:v>
                </c:pt>
                <c:pt idx="3">
                  <c:v>5.3999999999999999E-2</c:v>
                </c:pt>
                <c:pt idx="4">
                  <c:v>7.1999999999999995E-2</c:v>
                </c:pt>
                <c:pt idx="5">
                  <c:v>0.09</c:v>
                </c:pt>
                <c:pt idx="6">
                  <c:v>0.108</c:v>
                </c:pt>
                <c:pt idx="7">
                  <c:v>0.126</c:v>
                </c:pt>
                <c:pt idx="8">
                  <c:v>0.14399999999999999</c:v>
                </c:pt>
                <c:pt idx="9">
                  <c:v>0.16200000000000001</c:v>
                </c:pt>
                <c:pt idx="10">
                  <c:v>0.18</c:v>
                </c:pt>
              </c:numCache>
            </c:numRef>
          </c:xVal>
          <c:yVal>
            <c:numRef>
              <c:f>'exp uni0'!$B$2:$B$12</c:f>
              <c:numCache>
                <c:formatCode>0.00</c:formatCode>
                <c:ptCount val="11"/>
                <c:pt idx="0">
                  <c:v>112.82993587600001</c:v>
                </c:pt>
                <c:pt idx="1">
                  <c:v>162.1608530485961</c:v>
                </c:pt>
                <c:pt idx="2">
                  <c:v>186.35912080900974</c:v>
                </c:pt>
                <c:pt idx="3">
                  <c:v>203.57175825555296</c:v>
                </c:pt>
                <c:pt idx="4">
                  <c:v>217.16189922786879</c:v>
                </c:pt>
                <c:pt idx="5">
                  <c:v>228.6641974257617</c:v>
                </c:pt>
                <c:pt idx="6">
                  <c:v>238.67569995782011</c:v>
                </c:pt>
                <c:pt idx="7">
                  <c:v>247.4354509296252</c:v>
                </c:pt>
                <c:pt idx="8">
                  <c:v>255.33834393541034</c:v>
                </c:pt>
                <c:pt idx="9">
                  <c:v>262.84818314131314</c:v>
                </c:pt>
                <c:pt idx="10">
                  <c:v>269.69591368578972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182936"/>
        <c:axId val="250182544"/>
      </c:scatterChart>
      <c:valAx>
        <c:axId val="250182936"/>
        <c:scaling>
          <c:orientation val="minMax"/>
          <c:max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50182544"/>
        <c:crosses val="autoZero"/>
        <c:crossBetween val="midCat"/>
      </c:valAx>
      <c:valAx>
        <c:axId val="250182544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50182936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83820</xdr:colOff>
      <xdr:row>4</xdr:row>
      <xdr:rowOff>22860</xdr:rowOff>
    </xdr:from>
    <xdr:to>
      <xdr:col>24</xdr:col>
      <xdr:colOff>449580</xdr:colOff>
      <xdr:row>6</xdr:row>
      <xdr:rowOff>22860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0060" y="769620"/>
          <a:ext cx="235458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106680</xdr:colOff>
      <xdr:row>6</xdr:row>
      <xdr:rowOff>60960</xdr:rowOff>
    </xdr:from>
    <xdr:to>
      <xdr:col>23</xdr:col>
      <xdr:colOff>236220</xdr:colOff>
      <xdr:row>8</xdr:row>
      <xdr:rowOff>129540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2920" y="1173480"/>
          <a:ext cx="1508760" cy="434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117475</xdr:colOff>
      <xdr:row>12</xdr:row>
      <xdr:rowOff>53975</xdr:rowOff>
    </xdr:from>
    <xdr:to>
      <xdr:col>28</xdr:col>
      <xdr:colOff>466725</xdr:colOff>
      <xdr:row>27</xdr:row>
      <xdr:rowOff>34925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0</xdr:rowOff>
    </xdr:from>
    <xdr:to>
      <xdr:col>10</xdr:col>
      <xdr:colOff>406400</xdr:colOff>
      <xdr:row>20</xdr:row>
      <xdr:rowOff>165100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E13" sqref="E13"/>
    </sheetView>
  </sheetViews>
  <sheetFormatPr defaultRowHeight="14.4" x14ac:dyDescent="0.3"/>
  <cols>
    <col min="1" max="3" width="8.77734375" customWidth="1"/>
  </cols>
  <sheetData>
    <row r="1" spans="1:3" s="22" customFormat="1" ht="57.6" x14ac:dyDescent="0.3">
      <c r="A1" s="23" t="s">
        <v>13</v>
      </c>
      <c r="B1" s="25" t="s">
        <v>14</v>
      </c>
      <c r="C1" s="21"/>
    </row>
    <row r="2" spans="1:3" x14ac:dyDescent="0.3">
      <c r="A2" s="24">
        <v>0</v>
      </c>
      <c r="B2" s="43">
        <v>112.82993587600001</v>
      </c>
      <c r="C2" s="14"/>
    </row>
    <row r="3" spans="1:3" x14ac:dyDescent="0.3">
      <c r="A3" s="24">
        <v>1.7999999999999999E-2</v>
      </c>
      <c r="B3" s="43">
        <v>162.1608530485961</v>
      </c>
      <c r="C3" s="14"/>
    </row>
    <row r="4" spans="1:3" x14ac:dyDescent="0.3">
      <c r="A4" s="24">
        <v>3.5999999999999997E-2</v>
      </c>
      <c r="B4" s="43">
        <v>186.35912080900974</v>
      </c>
      <c r="C4" s="14"/>
    </row>
    <row r="5" spans="1:3" x14ac:dyDescent="0.3">
      <c r="A5" s="24">
        <v>5.3999999999999999E-2</v>
      </c>
      <c r="B5" s="43">
        <v>203.57175825555296</v>
      </c>
      <c r="C5" s="14"/>
    </row>
    <row r="6" spans="1:3" x14ac:dyDescent="0.3">
      <c r="A6" s="24">
        <v>7.1999999999999995E-2</v>
      </c>
      <c r="B6" s="43">
        <v>217.16189922786879</v>
      </c>
      <c r="C6" s="14"/>
    </row>
    <row r="7" spans="1:3" x14ac:dyDescent="0.3">
      <c r="A7" s="24">
        <v>0.09</v>
      </c>
      <c r="B7" s="43">
        <v>228.6641974257617</v>
      </c>
      <c r="C7" s="14"/>
    </row>
    <row r="8" spans="1:3" x14ac:dyDescent="0.3">
      <c r="A8" s="24">
        <v>0.108</v>
      </c>
      <c r="B8" s="43">
        <v>238.67569995782011</v>
      </c>
      <c r="C8" s="14"/>
    </row>
    <row r="9" spans="1:3" x14ac:dyDescent="0.3">
      <c r="A9" s="24">
        <v>0.126</v>
      </c>
      <c r="B9" s="43">
        <v>247.4354509296252</v>
      </c>
      <c r="C9" s="14"/>
    </row>
    <row r="10" spans="1:3" x14ac:dyDescent="0.3">
      <c r="A10" s="24">
        <v>0.14399999999999999</v>
      </c>
      <c r="B10" s="43">
        <v>255.33834393541034</v>
      </c>
      <c r="C10" s="14"/>
    </row>
    <row r="11" spans="1:3" x14ac:dyDescent="0.3">
      <c r="A11" s="24">
        <v>0.16200000000000001</v>
      </c>
      <c r="B11" s="43">
        <v>262.84818314131314</v>
      </c>
      <c r="C11" s="14"/>
    </row>
    <row r="12" spans="1:3" x14ac:dyDescent="0.3">
      <c r="A12" s="24">
        <v>0.18</v>
      </c>
      <c r="B12" s="43">
        <v>269.69591368578972</v>
      </c>
      <c r="C12" s="14"/>
    </row>
    <row r="13" spans="1:3" x14ac:dyDescent="0.3">
      <c r="A13" s="4"/>
      <c r="B13" s="14"/>
      <c r="C13" s="14"/>
    </row>
    <row r="14" spans="1:3" x14ac:dyDescent="0.3">
      <c r="A14" s="4"/>
      <c r="B14" s="14"/>
      <c r="C14" s="14"/>
    </row>
    <row r="15" spans="1:3" x14ac:dyDescent="0.3">
      <c r="A15" s="4"/>
      <c r="B15" s="14"/>
      <c r="C15" s="14"/>
    </row>
    <row r="16" spans="1:3" x14ac:dyDescent="0.3">
      <c r="A16" s="4"/>
      <c r="B16" s="14"/>
      <c r="C16" s="14"/>
    </row>
    <row r="17" spans="1:3" x14ac:dyDescent="0.3">
      <c r="A17" s="4"/>
      <c r="B17" s="14"/>
      <c r="C17" s="14"/>
    </row>
    <row r="18" spans="1:3" x14ac:dyDescent="0.3">
      <c r="A18" s="4"/>
      <c r="B18" s="14"/>
      <c r="C18" s="14"/>
    </row>
    <row r="19" spans="1:3" x14ac:dyDescent="0.3">
      <c r="A19" s="4"/>
      <c r="B19" s="14"/>
      <c r="C19" s="14"/>
    </row>
    <row r="20" spans="1:3" x14ac:dyDescent="0.3">
      <c r="A20" s="4"/>
      <c r="B20" s="14"/>
      <c r="C20" s="14"/>
    </row>
    <row r="21" spans="1:3" x14ac:dyDescent="0.3">
      <c r="A21" s="4"/>
      <c r="B21" s="14"/>
      <c r="C21" s="14"/>
    </row>
    <row r="22" spans="1:3" x14ac:dyDescent="0.3">
      <c r="A22" s="4"/>
      <c r="B22" s="14"/>
      <c r="C22" s="1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3"/>
  <sheetViews>
    <sheetView topLeftCell="L1" workbookViewId="0">
      <selection activeCell="V10" sqref="V10:Y11"/>
    </sheetView>
  </sheetViews>
  <sheetFormatPr defaultRowHeight="14.4" x14ac:dyDescent="0.3"/>
  <cols>
    <col min="4" max="7" width="8.88671875" style="44"/>
    <col min="17" max="17" width="9.6640625" customWidth="1"/>
    <col min="18" max="18" width="12.5546875" style="14" customWidth="1"/>
    <col min="19" max="19" width="9.33203125" style="17" bestFit="1" customWidth="1"/>
    <col min="23" max="23" width="11.21875" customWidth="1"/>
  </cols>
  <sheetData>
    <row r="1" spans="1:28" ht="15" thickBot="1" x14ac:dyDescent="0.35">
      <c r="A1" t="s">
        <v>30</v>
      </c>
      <c r="B1">
        <v>1</v>
      </c>
      <c r="C1">
        <v>2</v>
      </c>
      <c r="D1" s="44">
        <v>3</v>
      </c>
      <c r="E1" s="44">
        <v>4</v>
      </c>
      <c r="F1" s="44">
        <v>5</v>
      </c>
      <c r="G1" s="44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 s="14" t="s">
        <v>29</v>
      </c>
      <c r="S1" s="15" t="s">
        <v>4</v>
      </c>
      <c r="T1" t="s">
        <v>5</v>
      </c>
      <c r="V1" s="3"/>
      <c r="W1" s="18" t="s">
        <v>18</v>
      </c>
      <c r="X1" s="3"/>
    </row>
    <row r="2" spans="1:28" x14ac:dyDescent="0.3">
      <c r="B2" t="s">
        <v>21</v>
      </c>
      <c r="C2" t="s">
        <v>0</v>
      </c>
      <c r="D2" s="44" t="s">
        <v>1</v>
      </c>
      <c r="E2" s="41" t="s">
        <v>22</v>
      </c>
      <c r="F2" s="41" t="s">
        <v>23</v>
      </c>
      <c r="G2" s="44" t="s">
        <v>24</v>
      </c>
      <c r="H2" s="41" t="s">
        <v>2</v>
      </c>
      <c r="I2" t="s">
        <v>25</v>
      </c>
      <c r="J2" t="s">
        <v>26</v>
      </c>
      <c r="K2" t="s">
        <v>3</v>
      </c>
      <c r="L2" t="s">
        <v>8</v>
      </c>
      <c r="M2" t="s">
        <v>9</v>
      </c>
      <c r="N2" t="s">
        <v>10</v>
      </c>
      <c r="O2" t="s">
        <v>11</v>
      </c>
      <c r="P2" t="s">
        <v>27</v>
      </c>
      <c r="Q2" t="s">
        <v>28</v>
      </c>
      <c r="S2" s="26" t="s">
        <v>12</v>
      </c>
      <c r="T2" s="30">
        <f>SUM(T3:T53)</f>
        <v>2.5432305828728581E-2</v>
      </c>
      <c r="U2" s="31" t="s">
        <v>17</v>
      </c>
      <c r="V2" s="5" t="s">
        <v>20</v>
      </c>
      <c r="W2" s="19">
        <v>43.380387550282066</v>
      </c>
      <c r="X2" s="6" t="s">
        <v>6</v>
      </c>
      <c r="Y2" s="6"/>
      <c r="Z2" s="7"/>
    </row>
    <row r="3" spans="1:28" x14ac:dyDescent="0.3">
      <c r="B3" s="1">
        <v>1</v>
      </c>
      <c r="C3" s="1">
        <v>0</v>
      </c>
      <c r="D3" s="45">
        <v>0</v>
      </c>
      <c r="E3" s="42">
        <v>0</v>
      </c>
      <c r="F3" s="42">
        <v>2.60077493</v>
      </c>
      <c r="G3" s="45">
        <v>1.7331470099999999</v>
      </c>
      <c r="H3" s="42">
        <v>0</v>
      </c>
      <c r="I3" s="1">
        <v>2.1212958199999998</v>
      </c>
      <c r="J3" s="1">
        <v>2.6081782800000002</v>
      </c>
      <c r="K3" s="1">
        <v>0.52984388900000001</v>
      </c>
      <c r="L3" s="1">
        <v>1.1269531100000001</v>
      </c>
      <c r="M3" s="1">
        <v>2.1226636700000001</v>
      </c>
      <c r="N3" s="1">
        <v>0.52984388900000001</v>
      </c>
      <c r="O3" s="1">
        <v>1.1269531100000001</v>
      </c>
      <c r="P3" s="1">
        <v>2.1226636700000001</v>
      </c>
      <c r="Q3" s="1">
        <v>8.4548988399999999E-4</v>
      </c>
      <c r="R3" s="14">
        <f>F3*$W$2*(1+H3/$W$3)^($W$4)</f>
        <v>112.82262439445772</v>
      </c>
      <c r="S3" s="26">
        <f>'exp uni0'!B2</f>
        <v>112.82993587600001</v>
      </c>
      <c r="T3">
        <f>(R3-S3)^2</f>
        <v>5.3457762343222993E-5</v>
      </c>
      <c r="U3" s="8"/>
      <c r="V3" s="9" t="s">
        <v>7</v>
      </c>
      <c r="W3" s="46">
        <v>1.353533208837256E-2</v>
      </c>
      <c r="X3" s="2"/>
      <c r="Y3" s="2"/>
      <c r="Z3" s="10"/>
    </row>
    <row r="4" spans="1:28" ht="15" thickBot="1" x14ac:dyDescent="0.35">
      <c r="B4" s="1">
        <v>2</v>
      </c>
      <c r="C4" s="1">
        <v>1.80111991E-2</v>
      </c>
      <c r="D4" s="45">
        <v>3.0100596600000001E-2</v>
      </c>
      <c r="E4" s="42">
        <v>1.7999999999999999E-2</v>
      </c>
      <c r="F4" s="42">
        <v>2.5995753599999998</v>
      </c>
      <c r="G4" s="45">
        <v>1.73279329</v>
      </c>
      <c r="H4" s="42">
        <v>4.6976420200000001E-2</v>
      </c>
      <c r="I4" s="1">
        <v>2.12080701</v>
      </c>
      <c r="J4" s="1">
        <v>2.6098358899999998</v>
      </c>
      <c r="K4" s="1">
        <v>0.53085243500000001</v>
      </c>
      <c r="L4" s="1">
        <v>1.1315255</v>
      </c>
      <c r="M4" s="1">
        <v>2.1222301400000001</v>
      </c>
      <c r="N4" s="1">
        <v>0.53034816200000001</v>
      </c>
      <c r="O4" s="1">
        <v>1.1292368500000001</v>
      </c>
      <c r="P4" s="1">
        <v>2.1222301400000001</v>
      </c>
      <c r="Q4" s="1">
        <v>6.4492006499999996E-4</v>
      </c>
      <c r="R4" s="14">
        <f t="shared" ref="R4:R18" si="0">F4*$W$2*(1+H4/$W$3)^($W$4)</f>
        <v>162.15943236819814</v>
      </c>
      <c r="S4" s="26">
        <f>'exp uni0'!B3</f>
        <v>162.1608530485961</v>
      </c>
      <c r="T4">
        <f t="shared" ref="T4:T13" si="1">(R4-S4)^2</f>
        <v>2.018332793136917E-6</v>
      </c>
      <c r="U4" s="8"/>
      <c r="V4" s="11" t="s">
        <v>19</v>
      </c>
      <c r="W4" s="20">
        <v>0.24254836269488902</v>
      </c>
      <c r="X4" s="12"/>
      <c r="Y4" s="12"/>
      <c r="Z4" s="13"/>
    </row>
    <row r="5" spans="1:28" x14ac:dyDescent="0.3">
      <c r="B5" s="1">
        <v>3</v>
      </c>
      <c r="C5" s="1">
        <v>3.6023127299999999E-2</v>
      </c>
      <c r="D5" s="45">
        <v>6.0207896900000002E-2</v>
      </c>
      <c r="E5" s="42">
        <v>3.5999999999999997E-2</v>
      </c>
      <c r="F5" s="42">
        <v>2.5992896600000002</v>
      </c>
      <c r="G5" s="45">
        <v>1.73265794</v>
      </c>
      <c r="H5" s="42">
        <v>9.3984628099999995E-2</v>
      </c>
      <c r="I5" s="1">
        <v>2.1206589999999998</v>
      </c>
      <c r="J5" s="1">
        <v>2.61164116</v>
      </c>
      <c r="K5" s="1">
        <v>0.53086871300000005</v>
      </c>
      <c r="L5" s="1">
        <v>1.1315994700000001</v>
      </c>
      <c r="M5" s="1">
        <v>2.1220655700000002</v>
      </c>
      <c r="N5" s="1">
        <v>0.53052167900000002</v>
      </c>
      <c r="O5" s="1">
        <v>1.13002381</v>
      </c>
      <c r="P5" s="1">
        <v>2.1220655700000002</v>
      </c>
      <c r="Q5" s="1">
        <v>9.2359466299999997E-4</v>
      </c>
      <c r="R5" s="14">
        <f t="shared" si="0"/>
        <v>186.40026593663575</v>
      </c>
      <c r="S5" s="26">
        <f>'exp uni0'!B4</f>
        <v>186.35912080900974</v>
      </c>
      <c r="T5">
        <f t="shared" si="1"/>
        <v>1.6929215273606122E-3</v>
      </c>
      <c r="U5" s="8"/>
      <c r="V5" s="32"/>
      <c r="W5" s="33"/>
      <c r="X5" s="33"/>
      <c r="Y5" s="33"/>
      <c r="Z5" s="34"/>
    </row>
    <row r="6" spans="1:28" x14ac:dyDescent="0.3">
      <c r="B6" s="1">
        <v>4</v>
      </c>
      <c r="C6" s="1">
        <v>5.4035051799999997E-2</v>
      </c>
      <c r="D6" s="45">
        <v>9.0304524999999997E-2</v>
      </c>
      <c r="E6" s="42">
        <v>5.3999999999999999E-2</v>
      </c>
      <c r="F6" s="42">
        <v>2.5993891699999998</v>
      </c>
      <c r="G6" s="45">
        <v>1.73282826</v>
      </c>
      <c r="H6" s="42">
        <v>0.141025346</v>
      </c>
      <c r="I6" s="1">
        <v>2.1207716699999999</v>
      </c>
      <c r="J6" s="1">
        <v>2.6134267499999999</v>
      </c>
      <c r="K6" s="1">
        <v>0.53190474600000004</v>
      </c>
      <c r="L6" s="1">
        <v>1.1363173200000001</v>
      </c>
      <c r="M6" s="1">
        <v>2.1222726999999999</v>
      </c>
      <c r="N6" s="1">
        <v>0.53086744600000002</v>
      </c>
      <c r="O6" s="1">
        <v>1.13159371</v>
      </c>
      <c r="P6" s="1">
        <v>2.1222726999999999</v>
      </c>
      <c r="Q6" s="1">
        <v>3.9641625900000002E-4</v>
      </c>
      <c r="R6" s="14">
        <f t="shared" si="0"/>
        <v>203.55940911876485</v>
      </c>
      <c r="S6" s="26">
        <f>'exp uni0'!B5</f>
        <v>203.57175825555296</v>
      </c>
      <c r="T6">
        <f t="shared" si="1"/>
        <v>1.5250117941163012E-4</v>
      </c>
      <c r="V6" s="35"/>
      <c r="W6" s="36"/>
      <c r="X6" s="36"/>
      <c r="Y6" s="36"/>
      <c r="Z6" s="37"/>
    </row>
    <row r="7" spans="1:28" x14ac:dyDescent="0.3">
      <c r="B7" s="1">
        <v>5</v>
      </c>
      <c r="C7" s="1">
        <v>7.2047739E-2</v>
      </c>
      <c r="D7" s="45">
        <v>0.120382936</v>
      </c>
      <c r="E7" s="42">
        <v>7.1999999999999995E-2</v>
      </c>
      <c r="F7" s="42">
        <v>2.5998698500000001</v>
      </c>
      <c r="G7" s="45">
        <v>1.73331609</v>
      </c>
      <c r="H7" s="42">
        <v>0.188100239</v>
      </c>
      <c r="I7" s="1">
        <v>2.12136491</v>
      </c>
      <c r="J7" s="1">
        <v>2.6156919699999999</v>
      </c>
      <c r="K7" s="1">
        <v>0.53172915700000001</v>
      </c>
      <c r="L7" s="1">
        <v>1.1355162599999999</v>
      </c>
      <c r="M7" s="1">
        <v>2.1228705799999998</v>
      </c>
      <c r="N7" s="1">
        <v>0.53103978799999996</v>
      </c>
      <c r="O7" s="1">
        <v>1.13237706</v>
      </c>
      <c r="P7" s="1">
        <v>2.1228705799999998</v>
      </c>
      <c r="Q7" s="1">
        <v>7.4835171900000002E-4</v>
      </c>
      <c r="R7" s="14">
        <f>F7*$W$2*(1+H7/$W$3)^($W$4)</f>
        <v>217.15912904166603</v>
      </c>
      <c r="S7" s="26">
        <f>'exp uni0'!B6</f>
        <v>217.16189922786879</v>
      </c>
      <c r="T7">
        <f t="shared" si="1"/>
        <v>7.6739315979214851E-6</v>
      </c>
      <c r="V7" s="35"/>
      <c r="W7" s="36"/>
      <c r="X7" s="36"/>
      <c r="Y7" s="36"/>
      <c r="Z7" s="37"/>
    </row>
    <row r="8" spans="1:28" x14ac:dyDescent="0.3">
      <c r="B8" s="1">
        <v>6</v>
      </c>
      <c r="C8" s="1">
        <v>9.0060441300000002E-2</v>
      </c>
      <c r="D8" s="45">
        <v>0.150520705</v>
      </c>
      <c r="E8" s="42">
        <v>0.09</v>
      </c>
      <c r="F8" s="42">
        <v>2.6012202000000002</v>
      </c>
      <c r="G8" s="45">
        <v>1.7340201900000001</v>
      </c>
      <c r="H8" s="42">
        <v>0.23521610400000001</v>
      </c>
      <c r="I8" s="1">
        <v>2.1222364100000002</v>
      </c>
      <c r="J8" s="1">
        <v>2.6180094500000002</v>
      </c>
      <c r="K8" s="1">
        <v>0.53131684199999996</v>
      </c>
      <c r="L8" s="1">
        <v>1.13363758</v>
      </c>
      <c r="M8" s="1">
        <v>2.1237324100000001</v>
      </c>
      <c r="N8" s="1">
        <v>0.53108596399999997</v>
      </c>
      <c r="O8" s="1">
        <v>1.1325870499999999</v>
      </c>
      <c r="P8" s="1">
        <v>2.1237324100000001</v>
      </c>
      <c r="Q8" s="1">
        <v>2.6397639099999998E-4</v>
      </c>
      <c r="R8" s="14">
        <f t="shared" si="0"/>
        <v>228.62495628043499</v>
      </c>
      <c r="S8" s="26">
        <f>'exp uni0'!B7</f>
        <v>228.6641974257617</v>
      </c>
      <c r="T8">
        <f t="shared" si="1"/>
        <v>1.539867486552207E-3</v>
      </c>
      <c r="V8" s="35"/>
      <c r="W8" s="36"/>
      <c r="X8" s="36"/>
      <c r="Y8" s="36"/>
      <c r="Z8" s="37"/>
    </row>
    <row r="9" spans="1:28" ht="15" thickBot="1" x14ac:dyDescent="0.35">
      <c r="B9" s="1">
        <v>7</v>
      </c>
      <c r="C9" s="1">
        <v>0.10807301</v>
      </c>
      <c r="D9" s="45">
        <v>0.18069981500000001</v>
      </c>
      <c r="E9" s="42">
        <v>0.108</v>
      </c>
      <c r="F9" s="42">
        <v>2.60363078</v>
      </c>
      <c r="G9" s="45">
        <v>1.73488307</v>
      </c>
      <c r="H9" s="42">
        <v>0.28237331100000002</v>
      </c>
      <c r="I9" s="1">
        <v>2.1233301600000001</v>
      </c>
      <c r="J9" s="1">
        <v>2.6206984100000001</v>
      </c>
      <c r="K9" s="1">
        <v>0.53022331899999997</v>
      </c>
      <c r="L9" s="1">
        <v>1.128671</v>
      </c>
      <c r="M9" s="1">
        <v>2.1247900899999999</v>
      </c>
      <c r="N9" s="1">
        <v>0.53096272899999997</v>
      </c>
      <c r="O9" s="1">
        <v>1.13202673</v>
      </c>
      <c r="P9" s="1">
        <v>2.1247900899999999</v>
      </c>
      <c r="Q9" s="1">
        <v>9.4235022799999996E-4</v>
      </c>
      <c r="R9" s="14">
        <f t="shared" si="0"/>
        <v>238.6778592174492</v>
      </c>
      <c r="S9" s="26">
        <f>'exp uni0'!B8</f>
        <v>238.67569995782011</v>
      </c>
      <c r="T9">
        <f t="shared" si="1"/>
        <v>4.6624021457815616E-6</v>
      </c>
      <c r="V9" s="38"/>
      <c r="W9" s="39"/>
      <c r="X9" s="39"/>
      <c r="Y9" s="39"/>
      <c r="Z9" s="40"/>
    </row>
    <row r="10" spans="1:28" x14ac:dyDescent="0.3">
      <c r="B10" s="1">
        <v>8</v>
      </c>
      <c r="C10" s="1">
        <v>0.126084799</v>
      </c>
      <c r="D10" s="45">
        <v>0.21087913799999999</v>
      </c>
      <c r="E10" s="42">
        <v>0.126</v>
      </c>
      <c r="F10" s="42">
        <v>2.6033735500000001</v>
      </c>
      <c r="G10" s="45">
        <v>1.7357549000000001</v>
      </c>
      <c r="H10" s="42">
        <v>0.32957689499999998</v>
      </c>
      <c r="I10" s="1">
        <v>2.1244026300000001</v>
      </c>
      <c r="J10" s="1">
        <v>2.6231013600000002</v>
      </c>
      <c r="K10" s="1">
        <v>0.53071291600000003</v>
      </c>
      <c r="L10" s="1">
        <v>1.1308917999999999</v>
      </c>
      <c r="M10" s="1">
        <v>2.1258576599999999</v>
      </c>
      <c r="N10" s="1">
        <v>0.53093150200000006</v>
      </c>
      <c r="O10" s="1">
        <v>1.1318847999999999</v>
      </c>
      <c r="P10" s="1">
        <v>2.1258576599999999</v>
      </c>
      <c r="Q10" s="1">
        <v>8.4258773499999999E-4</v>
      </c>
      <c r="R10" s="14">
        <f t="shared" si="0"/>
        <v>247.37732020049546</v>
      </c>
      <c r="S10" s="26">
        <f>'exp uni0'!B9</f>
        <v>247.4354509296252</v>
      </c>
      <c r="T10">
        <f t="shared" si="1"/>
        <v>3.3791816691556079E-3</v>
      </c>
      <c r="U10" s="2"/>
      <c r="V10" s="27">
        <v>3</v>
      </c>
      <c r="W10" s="27"/>
      <c r="X10" s="27"/>
      <c r="Y10" s="27" t="s">
        <v>16</v>
      </c>
      <c r="Z10" s="27"/>
      <c r="AA10" s="27"/>
      <c r="AB10" s="27"/>
    </row>
    <row r="11" spans="1:28" x14ac:dyDescent="0.3">
      <c r="B11" s="1">
        <v>9</v>
      </c>
      <c r="C11" s="1">
        <v>0.14409712899999999</v>
      </c>
      <c r="D11" s="45">
        <v>0.241111665</v>
      </c>
      <c r="E11" s="42">
        <v>0.14399999999999999</v>
      </c>
      <c r="F11" s="42">
        <v>2.6056645299999999</v>
      </c>
      <c r="G11" s="45">
        <v>1.7369033700000001</v>
      </c>
      <c r="H11" s="42">
        <v>0.37682525900000002</v>
      </c>
      <c r="I11" s="1">
        <v>2.1259605800000001</v>
      </c>
      <c r="J11" s="1">
        <v>2.6257749000000001</v>
      </c>
      <c r="K11" s="1">
        <v>0.52854090899999995</v>
      </c>
      <c r="L11" s="1">
        <v>1.1210748100000001</v>
      </c>
      <c r="M11" s="1">
        <v>2.1272640300000001</v>
      </c>
      <c r="N11" s="1">
        <v>0.53066588100000001</v>
      </c>
      <c r="O11" s="1">
        <v>1.1306782500000001</v>
      </c>
      <c r="P11" s="1">
        <v>2.1272640300000001</v>
      </c>
      <c r="Q11" s="1">
        <v>7.1122194899999995E-4</v>
      </c>
      <c r="R11" s="14">
        <f t="shared" si="0"/>
        <v>255.4652441336784</v>
      </c>
      <c r="S11" s="26">
        <f>'exp uni0'!B10</f>
        <v>255.33834393541034</v>
      </c>
      <c r="T11">
        <f t="shared" si="1"/>
        <v>1.6103660320473102E-2</v>
      </c>
      <c r="U11" s="2"/>
      <c r="V11" s="28">
        <f>W2</f>
        <v>43.380387550282066</v>
      </c>
      <c r="W11" s="47">
        <f>W3</f>
        <v>1.353533208837256E-2</v>
      </c>
      <c r="X11" s="29">
        <f>W4</f>
        <v>0.24254836269488902</v>
      </c>
      <c r="Y11" s="27" t="s">
        <v>15</v>
      </c>
      <c r="Z11" s="27"/>
      <c r="AA11" s="27"/>
      <c r="AB11" s="27"/>
    </row>
    <row r="12" spans="1:28" x14ac:dyDescent="0.3">
      <c r="B12" s="1">
        <v>10</v>
      </c>
      <c r="C12" s="1">
        <v>0.16210781399999999</v>
      </c>
      <c r="D12" s="45">
        <v>0.27134672700000001</v>
      </c>
      <c r="E12" s="42">
        <v>0.16200000000000001</v>
      </c>
      <c r="F12" s="42">
        <v>2.6071331899999999</v>
      </c>
      <c r="G12" s="45">
        <v>1.73802733</v>
      </c>
      <c r="H12" s="42">
        <v>0.42411754400000001</v>
      </c>
      <c r="I12" s="1">
        <v>2.1274976200000002</v>
      </c>
      <c r="J12" s="1">
        <v>2.6284915199999999</v>
      </c>
      <c r="K12" s="1">
        <v>0.52655915099999995</v>
      </c>
      <c r="L12" s="1">
        <v>1.11219628</v>
      </c>
      <c r="M12" s="1">
        <v>2.1286407600000001</v>
      </c>
      <c r="N12" s="1">
        <v>0.53025520800000003</v>
      </c>
      <c r="O12" s="1">
        <v>1.1288155099999999</v>
      </c>
      <c r="P12" s="1">
        <v>2.1286407600000001</v>
      </c>
      <c r="Q12" s="1">
        <v>8.1298777599999998E-4</v>
      </c>
      <c r="R12" s="14">
        <f t="shared" si="0"/>
        <v>262.79821954239458</v>
      </c>
      <c r="S12" s="26">
        <f>'exp uni0'!B11</f>
        <v>262.84818314131314</v>
      </c>
      <c r="T12">
        <f t="shared" si="1"/>
        <v>2.496361216895357E-3</v>
      </c>
      <c r="U12" s="2"/>
      <c r="V12" s="2"/>
    </row>
    <row r="13" spans="1:28" x14ac:dyDescent="0.3">
      <c r="B13" s="1">
        <v>11</v>
      </c>
      <c r="C13" s="1">
        <v>0.180117097</v>
      </c>
      <c r="D13" s="45">
        <v>0.30157671600000002</v>
      </c>
      <c r="E13" s="42">
        <v>0.18</v>
      </c>
      <c r="F13" s="42">
        <v>2.6092396</v>
      </c>
      <c r="G13" s="45">
        <v>1.7392576</v>
      </c>
      <c r="H13" s="42">
        <v>0.47145556100000002</v>
      </c>
      <c r="I13" s="1">
        <v>2.1290931199999998</v>
      </c>
      <c r="J13" s="1">
        <v>2.63103942</v>
      </c>
      <c r="K13" s="1">
        <v>0.52536286300000001</v>
      </c>
      <c r="L13" s="1">
        <v>1.10687264</v>
      </c>
      <c r="M13" s="1">
        <v>2.1301470899999999</v>
      </c>
      <c r="N13" s="1">
        <v>0.52981044899999996</v>
      </c>
      <c r="O13" s="1">
        <v>1.1268018399999999</v>
      </c>
      <c r="P13" s="1">
        <v>2.1301470899999999</v>
      </c>
      <c r="Q13" s="1">
        <v>5.0209182600000003E-4</v>
      </c>
      <c r="R13" s="14">
        <f t="shared" si="0"/>
        <v>269.64460730529169</v>
      </c>
      <c r="S13" s="26">
        <f>'exp uni0'!B12</f>
        <v>269.69591368578972</v>
      </c>
      <c r="U13" s="2"/>
      <c r="V13" s="2"/>
    </row>
    <row r="14" spans="1:28" x14ac:dyDescent="0.3">
      <c r="B14" s="1">
        <v>12</v>
      </c>
      <c r="C14" s="1">
        <v>0.198125248</v>
      </c>
      <c r="D14" s="45">
        <v>0.33183478599999999</v>
      </c>
      <c r="E14" s="42">
        <v>0.19800000000000001</v>
      </c>
      <c r="F14" s="42">
        <v>2.6113748399999999</v>
      </c>
      <c r="G14" s="45">
        <v>1.74059141</v>
      </c>
      <c r="H14" s="42">
        <v>0.51883727199999996</v>
      </c>
      <c r="I14" s="1">
        <v>2.1308917799999998</v>
      </c>
      <c r="J14" s="1">
        <v>2.6336566700000001</v>
      </c>
      <c r="K14" s="1">
        <v>0.52329113900000002</v>
      </c>
      <c r="L14" s="1">
        <v>1.0977164100000001</v>
      </c>
      <c r="M14" s="1">
        <v>2.1317806400000001</v>
      </c>
      <c r="N14" s="1">
        <v>0.52926717300000004</v>
      </c>
      <c r="O14" s="1">
        <v>1.1243472800000001</v>
      </c>
      <c r="P14" s="1">
        <v>2.1317806400000001</v>
      </c>
      <c r="Q14" s="1">
        <v>4.6446184499999998E-4</v>
      </c>
      <c r="R14" s="14">
        <f t="shared" si="0"/>
        <v>276.03608815080361</v>
      </c>
      <c r="S14" s="16"/>
      <c r="U14" s="2"/>
      <c r="V14" s="2"/>
    </row>
    <row r="15" spans="1:28" x14ac:dyDescent="0.3">
      <c r="B15" s="1">
        <v>13</v>
      </c>
      <c r="C15" s="1">
        <v>0.21613186600000001</v>
      </c>
      <c r="D15" s="45">
        <v>0.36209466800000001</v>
      </c>
      <c r="E15" s="42">
        <v>0.216</v>
      </c>
      <c r="F15" s="42">
        <v>2.6131507699999998</v>
      </c>
      <c r="G15" s="45">
        <v>1.7420822600000001</v>
      </c>
      <c r="H15" s="42">
        <v>0.56626256399999997</v>
      </c>
      <c r="I15" s="1">
        <v>2.1328301199999999</v>
      </c>
      <c r="J15" s="1">
        <v>2.63633469</v>
      </c>
      <c r="K15" s="1">
        <v>0.52199568299999999</v>
      </c>
      <c r="L15" s="1">
        <v>1.0920313100000001</v>
      </c>
      <c r="M15" s="1">
        <v>2.13360693</v>
      </c>
      <c r="N15" s="1">
        <v>0.52870782800000005</v>
      </c>
      <c r="O15" s="1">
        <v>1.12182603</v>
      </c>
      <c r="P15" s="1">
        <v>2.13360693</v>
      </c>
      <c r="Q15" s="1">
        <v>7.5952198099999996E-4</v>
      </c>
      <c r="R15" s="14">
        <f t="shared" si="0"/>
        <v>282.00069973959666</v>
      </c>
      <c r="S15" s="16"/>
    </row>
    <row r="16" spans="1:28" x14ac:dyDescent="0.3">
      <c r="B16" s="1">
        <v>14</v>
      </c>
      <c r="C16" s="1">
        <v>0.234137661</v>
      </c>
      <c r="D16" s="45">
        <v>0.39236033100000001</v>
      </c>
      <c r="E16" s="42">
        <v>0.23400000000000001</v>
      </c>
      <c r="F16" s="42">
        <v>2.6156029200000002</v>
      </c>
      <c r="G16" s="45">
        <v>1.7436490600000001</v>
      </c>
      <c r="H16" s="42">
        <v>0.61373413399999999</v>
      </c>
      <c r="I16" s="1">
        <v>2.1349601800000002</v>
      </c>
      <c r="J16" s="1">
        <v>2.63925908</v>
      </c>
      <c r="K16" s="1">
        <v>0.51837032900000002</v>
      </c>
      <c r="L16" s="1">
        <v>1.07628404</v>
      </c>
      <c r="M16" s="1">
        <v>2.1355253200000002</v>
      </c>
      <c r="N16" s="1">
        <v>0.52796943500000004</v>
      </c>
      <c r="O16" s="1">
        <v>1.11850688</v>
      </c>
      <c r="P16" s="1">
        <v>2.1355253200000002</v>
      </c>
      <c r="Q16" s="1">
        <v>2.7243609499999998E-4</v>
      </c>
      <c r="R16" s="14">
        <f t="shared" si="0"/>
        <v>287.70488201315868</v>
      </c>
      <c r="S16" s="16"/>
    </row>
    <row r="17" spans="2:19" x14ac:dyDescent="0.3">
      <c r="B17" s="1">
        <v>15</v>
      </c>
      <c r="C17" s="1">
        <v>0.25214089899999997</v>
      </c>
      <c r="D17" s="45">
        <v>0.42263556299999999</v>
      </c>
      <c r="E17" s="42">
        <v>0.252</v>
      </c>
      <c r="F17" s="42">
        <v>2.6176833899999998</v>
      </c>
      <c r="G17" s="45">
        <v>1.74524474</v>
      </c>
      <c r="H17" s="42">
        <v>0.66125330699999996</v>
      </c>
      <c r="I17" s="1">
        <v>2.13696442</v>
      </c>
      <c r="J17" s="1">
        <v>2.6418573900000002</v>
      </c>
      <c r="K17" s="1">
        <v>0.51782315599999995</v>
      </c>
      <c r="L17" s="1">
        <v>1.0739278800000001</v>
      </c>
      <c r="M17" s="1">
        <v>2.1374796100000002</v>
      </c>
      <c r="N17" s="1">
        <v>0.527293016</v>
      </c>
      <c r="O17" s="1">
        <v>1.1154754099999999</v>
      </c>
      <c r="P17" s="1">
        <v>2.1374796100000002</v>
      </c>
      <c r="Q17" s="1">
        <v>2.5149543600000001E-4</v>
      </c>
      <c r="R17" s="14">
        <f t="shared" si="0"/>
        <v>293.07894559513835</v>
      </c>
      <c r="S17" s="16"/>
    </row>
    <row r="18" spans="2:19" x14ac:dyDescent="0.3">
      <c r="B18" s="1">
        <v>16</v>
      </c>
      <c r="C18" s="1">
        <v>0.27014389900000002</v>
      </c>
      <c r="D18" s="45">
        <v>0.45288349100000003</v>
      </c>
      <c r="E18" s="42">
        <v>0.27</v>
      </c>
      <c r="F18" s="42">
        <v>2.6208075900000001</v>
      </c>
      <c r="G18" s="45">
        <v>1.74700598</v>
      </c>
      <c r="H18" s="42">
        <v>0.70881831699999998</v>
      </c>
      <c r="I18" s="1">
        <v>2.1391658900000001</v>
      </c>
      <c r="J18" s="1">
        <v>2.6443721299999998</v>
      </c>
      <c r="K18" s="1">
        <v>0.51645935099999996</v>
      </c>
      <c r="L18" s="1">
        <v>1.06807846</v>
      </c>
      <c r="M18" s="1">
        <v>2.1396370299999998</v>
      </c>
      <c r="N18" s="1">
        <v>0.52661591200000002</v>
      </c>
      <c r="O18" s="1">
        <v>1.1124495400000001</v>
      </c>
      <c r="P18" s="1">
        <v>2.1396370299999998</v>
      </c>
      <c r="Q18" s="1">
        <v>6.2679254600000003E-4</v>
      </c>
      <c r="R18" s="14">
        <f t="shared" si="0"/>
        <v>298.31681462317931</v>
      </c>
      <c r="S18" s="16"/>
    </row>
    <row r="19" spans="2:19" x14ac:dyDescent="0.3">
      <c r="S19" s="16"/>
    </row>
    <row r="20" spans="2:19" x14ac:dyDescent="0.3">
      <c r="S20" s="16"/>
    </row>
    <row r="21" spans="2:19" x14ac:dyDescent="0.3">
      <c r="S21" s="16"/>
    </row>
    <row r="22" spans="2:19" x14ac:dyDescent="0.3">
      <c r="S22" s="16"/>
    </row>
    <row r="23" spans="2:19" x14ac:dyDescent="0.3">
      <c r="S23" s="16"/>
    </row>
    <row r="24" spans="2:19" x14ac:dyDescent="0.3">
      <c r="S24" s="16"/>
    </row>
    <row r="25" spans="2:19" x14ac:dyDescent="0.3">
      <c r="S25" s="16"/>
    </row>
    <row r="26" spans="2:19" x14ac:dyDescent="0.3">
      <c r="S26" s="16"/>
    </row>
    <row r="27" spans="2:19" x14ac:dyDescent="0.3">
      <c r="S27" s="16"/>
    </row>
    <row r="28" spans="2:19" x14ac:dyDescent="0.3">
      <c r="S28" s="16"/>
    </row>
    <row r="29" spans="2:19" x14ac:dyDescent="0.3">
      <c r="S29" s="16"/>
    </row>
    <row r="30" spans="2:19" x14ac:dyDescent="0.3">
      <c r="S30" s="16"/>
    </row>
    <row r="31" spans="2:19" x14ac:dyDescent="0.3">
      <c r="S31" s="16"/>
    </row>
    <row r="32" spans="2:19" x14ac:dyDescent="0.3">
      <c r="S32" s="16"/>
    </row>
    <row r="33" spans="19:19" x14ac:dyDescent="0.3">
      <c r="S33" s="16"/>
    </row>
    <row r="34" spans="19:19" x14ac:dyDescent="0.3">
      <c r="S34" s="16"/>
    </row>
    <row r="35" spans="19:19" x14ac:dyDescent="0.3">
      <c r="S35" s="16"/>
    </row>
    <row r="36" spans="19:19" x14ac:dyDescent="0.3">
      <c r="S36" s="16"/>
    </row>
    <row r="37" spans="19:19" x14ac:dyDescent="0.3">
      <c r="S37" s="16"/>
    </row>
    <row r="38" spans="19:19" x14ac:dyDescent="0.3">
      <c r="S38" s="16"/>
    </row>
    <row r="39" spans="19:19" x14ac:dyDescent="0.3">
      <c r="S39" s="16"/>
    </row>
    <row r="40" spans="19:19" x14ac:dyDescent="0.3">
      <c r="S40" s="16"/>
    </row>
    <row r="41" spans="19:19" x14ac:dyDescent="0.3">
      <c r="S41" s="16"/>
    </row>
    <row r="42" spans="19:19" x14ac:dyDescent="0.3">
      <c r="S42" s="16"/>
    </row>
    <row r="43" spans="19:19" x14ac:dyDescent="0.3">
      <c r="S43" s="16"/>
    </row>
    <row r="44" spans="19:19" x14ac:dyDescent="0.3">
      <c r="S44" s="16"/>
    </row>
    <row r="45" spans="19:19" x14ac:dyDescent="0.3">
      <c r="S45" s="16"/>
    </row>
    <row r="46" spans="19:19" x14ac:dyDescent="0.3">
      <c r="S46" s="16"/>
    </row>
    <row r="47" spans="19:19" x14ac:dyDescent="0.3">
      <c r="S47" s="16"/>
    </row>
    <row r="48" spans="19:19" x14ac:dyDescent="0.3">
      <c r="S48" s="16"/>
    </row>
    <row r="49" spans="19:19" x14ac:dyDescent="0.3">
      <c r="S49" s="16"/>
    </row>
    <row r="50" spans="19:19" x14ac:dyDescent="0.3">
      <c r="S50" s="16"/>
    </row>
    <row r="51" spans="19:19" x14ac:dyDescent="0.3">
      <c r="S51" s="16"/>
    </row>
    <row r="52" spans="19:19" x14ac:dyDescent="0.3">
      <c r="S52" s="16"/>
    </row>
    <row r="53" spans="19:19" x14ac:dyDescent="0.3">
      <c r="S53" s="16"/>
    </row>
  </sheetData>
  <mergeCells count="1">
    <mergeCell ref="V5:Z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tabSelected="1" workbookViewId="0">
      <selection activeCell="L14" sqref="L14"/>
    </sheetView>
  </sheetViews>
  <sheetFormatPr defaultRowHeight="14.4" x14ac:dyDescent="0.3"/>
  <sheetData>
    <row r="1" spans="1:17" x14ac:dyDescent="0.3">
      <c r="A1" t="s">
        <v>30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</row>
    <row r="2" spans="1:17" x14ac:dyDescent="0.3">
      <c r="B2" t="s">
        <v>21</v>
      </c>
      <c r="C2" t="s">
        <v>0</v>
      </c>
      <c r="D2" t="s">
        <v>1</v>
      </c>
      <c r="E2" t="s">
        <v>22</v>
      </c>
      <c r="F2" t="s">
        <v>23</v>
      </c>
      <c r="G2" t="s">
        <v>24</v>
      </c>
      <c r="H2" t="s">
        <v>2</v>
      </c>
      <c r="I2" t="s">
        <v>25</v>
      </c>
      <c r="J2" t="s">
        <v>26</v>
      </c>
      <c r="K2" t="s">
        <v>3</v>
      </c>
      <c r="L2" t="s">
        <v>8</v>
      </c>
      <c r="M2" t="s">
        <v>9</v>
      </c>
      <c r="N2" t="s">
        <v>10</v>
      </c>
      <c r="O2" t="s">
        <v>11</v>
      </c>
      <c r="P2" t="s">
        <v>27</v>
      </c>
      <c r="Q2" t="s">
        <v>28</v>
      </c>
    </row>
    <row r="3" spans="1:17" x14ac:dyDescent="0.3">
      <c r="B3">
        <v>1</v>
      </c>
      <c r="C3" s="1">
        <v>0</v>
      </c>
      <c r="D3" s="1">
        <v>0</v>
      </c>
      <c r="E3" s="1">
        <v>0</v>
      </c>
      <c r="F3" s="1">
        <v>112.831715</v>
      </c>
      <c r="G3" s="1">
        <v>75.1848375</v>
      </c>
      <c r="H3" s="1">
        <v>0</v>
      </c>
      <c r="I3" s="1">
        <v>92.022525999999999</v>
      </c>
      <c r="J3" s="1">
        <v>2.6085385699999999</v>
      </c>
      <c r="K3" s="1">
        <v>0.52984388900000001</v>
      </c>
      <c r="L3" s="1">
        <v>1.1269531100000001</v>
      </c>
      <c r="M3" s="1">
        <v>92.082281499999993</v>
      </c>
      <c r="N3" s="1">
        <v>0.52984388900000001</v>
      </c>
      <c r="O3" s="1">
        <v>1.1269531100000001</v>
      </c>
      <c r="P3" s="1">
        <v>92.082281499999993</v>
      </c>
      <c r="Q3" s="1">
        <v>9.0105245599999997E-4</v>
      </c>
    </row>
    <row r="4" spans="1:17" x14ac:dyDescent="0.3">
      <c r="B4">
        <v>2</v>
      </c>
      <c r="C4" s="1">
        <v>1.00062217E-2</v>
      </c>
      <c r="D4" s="1">
        <v>1.67225537E-2</v>
      </c>
      <c r="E4" s="1">
        <v>0.01</v>
      </c>
      <c r="F4" s="1">
        <v>146.534468</v>
      </c>
      <c r="G4" s="1">
        <v>97.67953</v>
      </c>
      <c r="H4" s="1">
        <v>1.13228807</v>
      </c>
      <c r="I4" s="1">
        <v>119.552943</v>
      </c>
      <c r="J4" s="1">
        <v>2.6144114799999998</v>
      </c>
      <c r="K4" s="1">
        <v>0.53089217499999997</v>
      </c>
      <c r="L4" s="1">
        <v>1.1317060699999999</v>
      </c>
      <c r="M4" s="1">
        <v>119.63253400000001</v>
      </c>
      <c r="N4" s="1">
        <v>0.53036803200000004</v>
      </c>
      <c r="O4" s="1">
        <v>1.1293269399999999</v>
      </c>
      <c r="P4" s="1">
        <v>119.63253400000001</v>
      </c>
      <c r="Q4" s="1">
        <v>7.1580513400000003E-4</v>
      </c>
    </row>
    <row r="5" spans="1:17" x14ac:dyDescent="0.3">
      <c r="B5">
        <v>3</v>
      </c>
      <c r="C5" s="1">
        <v>2.00128033E-2</v>
      </c>
      <c r="D5" s="1">
        <v>3.3431137200000002E-2</v>
      </c>
      <c r="E5" s="1">
        <v>0.02</v>
      </c>
      <c r="F5" s="1">
        <v>165.793553</v>
      </c>
      <c r="G5" s="1">
        <v>110.487499</v>
      </c>
      <c r="H5" s="1">
        <v>2.6119884999999998</v>
      </c>
      <c r="I5" s="1">
        <v>135.22383600000001</v>
      </c>
      <c r="J5" s="1">
        <v>2.61254469</v>
      </c>
      <c r="K5" s="1">
        <v>0.53132414500000003</v>
      </c>
      <c r="L5" s="1">
        <v>1.13367083</v>
      </c>
      <c r="M5" s="1">
        <v>135.31903</v>
      </c>
      <c r="N5" s="1">
        <v>0.53068673600000005</v>
      </c>
      <c r="O5" s="1">
        <v>1.1307729399999999</v>
      </c>
      <c r="P5" s="1">
        <v>135.31903</v>
      </c>
      <c r="Q5" s="1">
        <v>6.8908824300000003E-4</v>
      </c>
    </row>
    <row r="6" spans="1:17" x14ac:dyDescent="0.3">
      <c r="B6">
        <v>4</v>
      </c>
      <c r="C6" s="1">
        <v>3.0019600399999999E-2</v>
      </c>
      <c r="D6" s="1">
        <v>5.01479726E-2</v>
      </c>
      <c r="E6" s="1">
        <v>0.03</v>
      </c>
      <c r="F6" s="1">
        <v>179.70756600000001</v>
      </c>
      <c r="G6" s="1">
        <v>119.824303</v>
      </c>
      <c r="H6" s="1">
        <v>4.28790826</v>
      </c>
      <c r="I6" s="1">
        <v>146.653615</v>
      </c>
      <c r="J6" s="1">
        <v>2.6140878399999998</v>
      </c>
      <c r="K6" s="1">
        <v>0.53180718800000004</v>
      </c>
      <c r="L6" s="1">
        <v>1.13587218</v>
      </c>
      <c r="M6" s="1">
        <v>146.754257</v>
      </c>
      <c r="N6" s="1">
        <v>0.53096684900000002</v>
      </c>
      <c r="O6" s="1">
        <v>1.1320454600000001</v>
      </c>
      <c r="P6" s="1">
        <v>146.754257</v>
      </c>
      <c r="Q6" s="1">
        <v>8.7486637499999999E-4</v>
      </c>
    </row>
    <row r="7" spans="1:17" x14ac:dyDescent="0.3">
      <c r="B7">
        <v>5</v>
      </c>
      <c r="C7" s="1">
        <v>4.00265998E-2</v>
      </c>
      <c r="D7" s="1">
        <v>6.6854646200000006E-2</v>
      </c>
      <c r="E7" s="1">
        <v>0.04</v>
      </c>
      <c r="F7" s="1">
        <v>190.99912599999999</v>
      </c>
      <c r="G7" s="1">
        <v>127.33088499999999</v>
      </c>
      <c r="H7" s="1">
        <v>6.1072427400000002</v>
      </c>
      <c r="I7" s="1">
        <v>155.83989600000001</v>
      </c>
      <c r="J7" s="1">
        <v>2.6145969500000001</v>
      </c>
      <c r="K7" s="1">
        <v>0.53151437599999996</v>
      </c>
      <c r="L7" s="1">
        <v>1.1345372199999999</v>
      </c>
      <c r="M7" s="1">
        <v>155.94785899999999</v>
      </c>
      <c r="N7" s="1">
        <v>0.53107635500000006</v>
      </c>
      <c r="O7" s="1">
        <v>1.1325433499999999</v>
      </c>
      <c r="P7" s="1">
        <v>155.94785899999999</v>
      </c>
      <c r="Q7" s="1">
        <v>3.8422547299999998E-4</v>
      </c>
    </row>
    <row r="8" spans="1:17" x14ac:dyDescent="0.3">
      <c r="B8">
        <v>6</v>
      </c>
      <c r="C8" s="1">
        <v>5.0033525099999997E-2</v>
      </c>
      <c r="D8" s="1">
        <v>8.3583275600000007E-2</v>
      </c>
      <c r="E8" s="1">
        <v>0.05</v>
      </c>
      <c r="F8" s="1">
        <v>200.49283500000001</v>
      </c>
      <c r="G8" s="1">
        <v>133.675319</v>
      </c>
      <c r="H8" s="1">
        <v>8.04161824</v>
      </c>
      <c r="I8" s="1">
        <v>163.600368</v>
      </c>
      <c r="J8" s="1">
        <v>2.6157653199999999</v>
      </c>
      <c r="K8" s="1">
        <v>0.53251097199999997</v>
      </c>
      <c r="L8" s="1">
        <v>1.1390876400000001</v>
      </c>
      <c r="M8" s="1">
        <v>163.71818300000001</v>
      </c>
      <c r="N8" s="1">
        <v>0.53131545800000002</v>
      </c>
      <c r="O8" s="1">
        <v>1.1336312799999999</v>
      </c>
      <c r="P8" s="1">
        <v>163.71818300000001</v>
      </c>
      <c r="Q8" s="1">
        <v>5.0278014399999995E-4</v>
      </c>
    </row>
    <row r="9" spans="1:17" x14ac:dyDescent="0.3">
      <c r="B9">
        <v>7</v>
      </c>
      <c r="C9" s="1">
        <v>6.0040783600000001E-2</v>
      </c>
      <c r="D9" s="1">
        <v>0.10028561900000001</v>
      </c>
      <c r="E9" s="1">
        <v>0.06</v>
      </c>
      <c r="F9" s="1">
        <v>208.836544</v>
      </c>
      <c r="G9" s="1">
        <v>139.20920000000001</v>
      </c>
      <c r="H9" s="1">
        <v>10.0734289</v>
      </c>
      <c r="I9" s="1">
        <v>170.370892</v>
      </c>
      <c r="J9" s="1">
        <v>2.6168309199999999</v>
      </c>
      <c r="K9" s="1">
        <v>0.53218349799999998</v>
      </c>
      <c r="L9" s="1">
        <v>1.1375902600000001</v>
      </c>
      <c r="M9" s="1">
        <v>170.495768</v>
      </c>
      <c r="N9" s="1">
        <v>0.531439463</v>
      </c>
      <c r="O9" s="1">
        <v>1.1341959500000001</v>
      </c>
      <c r="P9" s="1">
        <v>170.495768</v>
      </c>
      <c r="Q9" s="1">
        <v>3.9571567999999998E-4</v>
      </c>
    </row>
    <row r="10" spans="1:17" x14ac:dyDescent="0.3">
      <c r="B10">
        <v>8</v>
      </c>
      <c r="C10" s="1">
        <v>7.0048005799999993E-2</v>
      </c>
      <c r="D10" s="1">
        <v>0.11701202500000001</v>
      </c>
      <c r="E10" s="1">
        <v>7.0000000000000007E-2</v>
      </c>
      <c r="F10" s="1">
        <v>216.30183199999999</v>
      </c>
      <c r="G10" s="1">
        <v>144.15219200000001</v>
      </c>
      <c r="H10" s="1">
        <v>12.190140400000001</v>
      </c>
      <c r="I10" s="1">
        <v>176.416246</v>
      </c>
      <c r="J10" s="1">
        <v>2.6176100099999999</v>
      </c>
      <c r="K10" s="1">
        <v>0.53228872699999996</v>
      </c>
      <c r="L10" s="1">
        <v>1.13807119</v>
      </c>
      <c r="M10" s="1">
        <v>176.54969399999999</v>
      </c>
      <c r="N10" s="1">
        <v>0.53154562100000002</v>
      </c>
      <c r="O10" s="1">
        <v>1.13467959</v>
      </c>
      <c r="P10" s="1">
        <v>176.54969399999999</v>
      </c>
      <c r="Q10" s="1">
        <v>6.3917457400000004E-4</v>
      </c>
    </row>
    <row r="11" spans="1:17" x14ac:dyDescent="0.3">
      <c r="B11">
        <v>9</v>
      </c>
      <c r="C11" s="1">
        <v>8.0055293700000002E-2</v>
      </c>
      <c r="D11" s="1">
        <v>0.13375469700000001</v>
      </c>
      <c r="E11" s="1">
        <v>0.08</v>
      </c>
      <c r="F11" s="1">
        <v>222.958111</v>
      </c>
      <c r="G11" s="1">
        <v>148.62239400000001</v>
      </c>
      <c r="H11" s="1">
        <v>14.382624699999999</v>
      </c>
      <c r="I11" s="1">
        <v>181.887912</v>
      </c>
      <c r="J11" s="1">
        <v>2.6192094300000002</v>
      </c>
      <c r="K11" s="1">
        <v>0.53216104799999997</v>
      </c>
      <c r="L11" s="1">
        <v>1.1374876899999999</v>
      </c>
      <c r="M11" s="1">
        <v>182.02453199999999</v>
      </c>
      <c r="N11" s="1">
        <v>0.53161400199999997</v>
      </c>
      <c r="O11" s="1">
        <v>1.13499123</v>
      </c>
      <c r="P11" s="1">
        <v>182.02453199999999</v>
      </c>
      <c r="Q11" s="1">
        <v>4.3698882E-4</v>
      </c>
    </row>
    <row r="12" spans="1:17" x14ac:dyDescent="0.3">
      <c r="B12">
        <v>10</v>
      </c>
      <c r="C12" s="1">
        <v>9.0062672900000001E-2</v>
      </c>
      <c r="D12" s="1">
        <v>0.15053482400000001</v>
      </c>
      <c r="E12" s="1">
        <v>0.09</v>
      </c>
      <c r="F12" s="1">
        <v>229.17206300000001</v>
      </c>
      <c r="G12" s="1">
        <v>152.72721200000001</v>
      </c>
      <c r="H12" s="1">
        <v>16.643770700000001</v>
      </c>
      <c r="I12" s="1">
        <v>186.911506</v>
      </c>
      <c r="J12" s="1">
        <v>2.6202582400000001</v>
      </c>
      <c r="K12" s="1">
        <v>0.53174441299999997</v>
      </c>
      <c r="L12" s="1">
        <v>1.1355858400000001</v>
      </c>
      <c r="M12" s="1">
        <v>187.051908</v>
      </c>
      <c r="N12" s="1">
        <v>0.53162704299999997</v>
      </c>
      <c r="O12" s="1">
        <v>1.13505068</v>
      </c>
      <c r="P12" s="1">
        <v>187.051908</v>
      </c>
      <c r="Q12" s="1">
        <v>6.4285185999999998E-4</v>
      </c>
    </row>
    <row r="13" spans="1:17" x14ac:dyDescent="0.3">
      <c r="B13">
        <v>11</v>
      </c>
      <c r="C13" s="1">
        <v>0.100069904</v>
      </c>
      <c r="D13" s="1">
        <v>0.16732037499999999</v>
      </c>
      <c r="E13" s="1">
        <v>0.1</v>
      </c>
      <c r="F13" s="1">
        <v>234.79388</v>
      </c>
      <c r="G13" s="1">
        <v>156.52046899999999</v>
      </c>
      <c r="H13" s="1">
        <v>18.967931499999999</v>
      </c>
      <c r="I13" s="1">
        <v>191.55953299999999</v>
      </c>
      <c r="J13" s="1">
        <v>2.6218849199999998</v>
      </c>
      <c r="K13" s="1">
        <v>0.53148899599999999</v>
      </c>
      <c r="L13" s="1">
        <v>1.1344215799999999</v>
      </c>
      <c r="M13" s="1">
        <v>191.69764900000001</v>
      </c>
      <c r="N13" s="1">
        <v>0.53161449299999997</v>
      </c>
      <c r="O13" s="1">
        <v>1.1349934699999999</v>
      </c>
      <c r="P13" s="1">
        <v>191.69764900000001</v>
      </c>
      <c r="Q13" s="1">
        <v>2.7995421800000001E-4</v>
      </c>
    </row>
    <row r="14" spans="1:17" x14ac:dyDescent="0.3">
      <c r="B14">
        <v>12</v>
      </c>
      <c r="C14" s="1">
        <v>0.110077025</v>
      </c>
      <c r="D14" s="1">
        <v>0.18409539899999999</v>
      </c>
      <c r="E14" s="1">
        <v>0.11</v>
      </c>
      <c r="F14" s="1">
        <v>240.08387999999999</v>
      </c>
      <c r="G14" s="1">
        <v>160.06030999999999</v>
      </c>
      <c r="H14" s="1">
        <v>21.350382</v>
      </c>
      <c r="I14" s="1">
        <v>195.882721</v>
      </c>
      <c r="J14" s="1">
        <v>2.6229252199999999</v>
      </c>
      <c r="K14" s="1">
        <v>0.53258708499999996</v>
      </c>
      <c r="L14" s="1">
        <v>1.1394359599999999</v>
      </c>
      <c r="M14" s="1">
        <v>196.03304399999999</v>
      </c>
      <c r="N14" s="1">
        <v>0.53169554299999999</v>
      </c>
      <c r="O14" s="1">
        <v>1.13536298</v>
      </c>
      <c r="P14" s="1">
        <v>196.03304399999999</v>
      </c>
      <c r="Q14" s="1">
        <v>6.8286299499999999E-5</v>
      </c>
    </row>
    <row r="15" spans="1:17" x14ac:dyDescent="0.3">
      <c r="B15">
        <v>13</v>
      </c>
      <c r="C15" s="1">
        <v>0.12008466499999999</v>
      </c>
      <c r="D15" s="1">
        <v>0.20087233600000001</v>
      </c>
      <c r="E15" s="1">
        <v>0.12</v>
      </c>
      <c r="F15" s="1">
        <v>245.08228099999999</v>
      </c>
      <c r="G15" s="1">
        <v>163.38886600000001</v>
      </c>
      <c r="H15" s="1">
        <v>23.787216999999998</v>
      </c>
      <c r="I15" s="1">
        <v>199.964282</v>
      </c>
      <c r="J15" s="1">
        <v>2.6244088099999998</v>
      </c>
      <c r="K15" s="1">
        <v>0.53141209499999997</v>
      </c>
      <c r="L15" s="1">
        <v>1.1340713</v>
      </c>
      <c r="M15" s="1">
        <v>200.10977</v>
      </c>
      <c r="N15" s="1">
        <v>0.53167373900000003</v>
      </c>
      <c r="O15" s="1">
        <v>1.1352635600000001</v>
      </c>
      <c r="P15" s="1">
        <v>200.10977</v>
      </c>
      <c r="Q15" s="1">
        <v>9.7091207600000001E-4</v>
      </c>
    </row>
    <row r="16" spans="1:17" x14ac:dyDescent="0.3">
      <c r="B16">
        <v>14</v>
      </c>
      <c r="C16" s="1">
        <v>0.130091806</v>
      </c>
      <c r="D16" s="1">
        <v>0.21765954200000001</v>
      </c>
      <c r="E16" s="1">
        <v>0.13</v>
      </c>
      <c r="F16" s="1">
        <v>249.908106</v>
      </c>
      <c r="G16" s="1">
        <v>166.531015</v>
      </c>
      <c r="H16" s="1">
        <v>26.2750302</v>
      </c>
      <c r="I16" s="1">
        <v>203.81420199999999</v>
      </c>
      <c r="J16" s="1">
        <v>2.6254464500000001</v>
      </c>
      <c r="K16" s="1">
        <v>0.530442407</v>
      </c>
      <c r="L16" s="1">
        <v>1.1296642100000001</v>
      </c>
      <c r="M16" s="1">
        <v>203.958088</v>
      </c>
      <c r="N16" s="1">
        <v>0.53158578700000003</v>
      </c>
      <c r="O16" s="1">
        <v>1.13486263</v>
      </c>
      <c r="P16" s="1">
        <v>203.958088</v>
      </c>
      <c r="Q16" s="1">
        <v>8.9508377400000002E-4</v>
      </c>
    </row>
    <row r="17" spans="2:17" x14ac:dyDescent="0.3">
      <c r="B17">
        <v>15</v>
      </c>
      <c r="C17" s="1">
        <v>0.14009854199999999</v>
      </c>
      <c r="D17" s="1">
        <v>0.23444658600000001</v>
      </c>
      <c r="E17" s="1">
        <v>0.14000000000000001</v>
      </c>
      <c r="F17" s="1">
        <v>254.30718999999999</v>
      </c>
      <c r="G17" s="1">
        <v>169.50541699999999</v>
      </c>
      <c r="H17" s="1">
        <v>28.810940299999999</v>
      </c>
      <c r="I17" s="1">
        <v>207.45789600000001</v>
      </c>
      <c r="J17" s="1">
        <v>2.6270952900000002</v>
      </c>
      <c r="K17" s="1">
        <v>0.53010262100000005</v>
      </c>
      <c r="L17" s="1">
        <v>1.1281242300000001</v>
      </c>
      <c r="M17" s="1">
        <v>207.60095000000001</v>
      </c>
      <c r="N17" s="1">
        <v>0.53148690899999995</v>
      </c>
      <c r="O17" s="1">
        <v>1.1344120799999999</v>
      </c>
      <c r="P17" s="1">
        <v>207.60095000000001</v>
      </c>
      <c r="Q17" s="1">
        <v>7.5644040800000004E-4</v>
      </c>
    </row>
    <row r="18" spans="2:17" x14ac:dyDescent="0.3">
      <c r="B18">
        <v>16</v>
      </c>
      <c r="C18" s="1">
        <v>0.150105185</v>
      </c>
      <c r="D18" s="1">
        <v>0.25124475699999999</v>
      </c>
      <c r="E18" s="1">
        <v>0.15</v>
      </c>
      <c r="F18" s="1">
        <v>258.38452999999998</v>
      </c>
      <c r="G18" s="1">
        <v>172.32941500000001</v>
      </c>
      <c r="H18" s="1">
        <v>31.392480500000001</v>
      </c>
      <c r="I18" s="1">
        <v>210.930622</v>
      </c>
      <c r="J18" s="1">
        <v>2.6282519400000002</v>
      </c>
      <c r="K18" s="1">
        <v>0.52881891800000003</v>
      </c>
      <c r="L18" s="1">
        <v>1.1223263000000001</v>
      </c>
      <c r="M18" s="1">
        <v>211.05963399999999</v>
      </c>
      <c r="N18" s="1">
        <v>0.53132016000000004</v>
      </c>
      <c r="O18" s="1">
        <v>1.13365268</v>
      </c>
      <c r="P18" s="1">
        <v>211.05963399999999</v>
      </c>
      <c r="Q18" s="1">
        <v>7.9346957099999998E-4</v>
      </c>
    </row>
    <row r="19" spans="2:17" x14ac:dyDescent="0.3">
      <c r="B19">
        <v>17</v>
      </c>
      <c r="C19" s="1">
        <v>0.160111383</v>
      </c>
      <c r="D19" s="1">
        <v>0.26806770099999999</v>
      </c>
      <c r="E19" s="1">
        <v>0.16</v>
      </c>
      <c r="F19" s="1">
        <v>262.58474000000001</v>
      </c>
      <c r="G19" s="1">
        <v>175.0411</v>
      </c>
      <c r="H19" s="1">
        <v>34.0173816</v>
      </c>
      <c r="I19" s="1">
        <v>214.26149899999999</v>
      </c>
      <c r="J19" s="1">
        <v>2.6296478300000001</v>
      </c>
      <c r="K19" s="1">
        <v>0.52698009700000004</v>
      </c>
      <c r="L19" s="1">
        <v>1.1140759499999999</v>
      </c>
      <c r="M19" s="1">
        <v>214.38069999999999</v>
      </c>
      <c r="N19" s="1">
        <v>0.53106486200000003</v>
      </c>
      <c r="O19" s="1">
        <v>1.1324910800000001</v>
      </c>
      <c r="P19" s="1">
        <v>214.38069999999999</v>
      </c>
      <c r="Q19" s="1">
        <v>3.0686373299999999E-4</v>
      </c>
    </row>
    <row r="20" spans="2:17" x14ac:dyDescent="0.3">
      <c r="B20">
        <v>18</v>
      </c>
      <c r="C20" s="1">
        <v>0.17011670000000001</v>
      </c>
      <c r="D20" s="1">
        <v>0.28486368200000001</v>
      </c>
      <c r="E20" s="1">
        <v>0.17</v>
      </c>
      <c r="F20" s="1">
        <v>266.528841</v>
      </c>
      <c r="G20" s="1">
        <v>177.635413</v>
      </c>
      <c r="H20" s="1">
        <v>36.683725099999997</v>
      </c>
      <c r="I20" s="1">
        <v>217.44760199999999</v>
      </c>
      <c r="J20" s="1">
        <v>2.6315567600000001</v>
      </c>
      <c r="K20" s="1">
        <v>0.52544689300000003</v>
      </c>
      <c r="L20" s="1">
        <v>1.1072457099999999</v>
      </c>
      <c r="M20" s="1">
        <v>217.558099</v>
      </c>
      <c r="N20" s="1">
        <v>0.53075275200000005</v>
      </c>
      <c r="O20" s="1">
        <v>1.1310727</v>
      </c>
      <c r="P20" s="1">
        <v>217.558099</v>
      </c>
      <c r="Q20" s="1">
        <v>5.9256775800000001E-4</v>
      </c>
    </row>
    <row r="21" spans="2:17" x14ac:dyDescent="0.3">
      <c r="B21">
        <v>19</v>
      </c>
      <c r="C21" s="1">
        <v>0.18012133399999999</v>
      </c>
      <c r="D21" s="1">
        <v>0.30165190200000003</v>
      </c>
      <c r="E21" s="1">
        <v>0.18</v>
      </c>
      <c r="F21" s="1">
        <v>270.31909200000001</v>
      </c>
      <c r="G21" s="1">
        <v>180.13055800000001</v>
      </c>
      <c r="H21" s="1">
        <v>39.3897245</v>
      </c>
      <c r="I21" s="1">
        <v>220.50344200000001</v>
      </c>
      <c r="J21" s="1">
        <v>2.63269478</v>
      </c>
      <c r="K21" s="1">
        <v>0.52484312099999997</v>
      </c>
      <c r="L21" s="1">
        <v>1.10456808</v>
      </c>
      <c r="M21" s="1">
        <v>220.61407500000001</v>
      </c>
      <c r="N21" s="1">
        <v>0.53044171900000003</v>
      </c>
      <c r="O21" s="1">
        <v>1.1296610899999999</v>
      </c>
      <c r="P21" s="1">
        <v>220.61407500000001</v>
      </c>
      <c r="Q21" s="1">
        <v>9.4126012500000001E-4</v>
      </c>
    </row>
    <row r="22" spans="2:17" x14ac:dyDescent="0.3">
      <c r="B22">
        <v>20</v>
      </c>
      <c r="C22" s="1">
        <v>0.190125664</v>
      </c>
      <c r="D22" s="1">
        <v>0.31847140099999999</v>
      </c>
      <c r="E22" s="1">
        <v>0.19</v>
      </c>
      <c r="F22" s="1">
        <v>273.89547599999997</v>
      </c>
      <c r="G22" s="1">
        <v>182.53594100000001</v>
      </c>
      <c r="H22" s="1">
        <v>42.133799400000001</v>
      </c>
      <c r="I22" s="1">
        <v>223.45677499999999</v>
      </c>
      <c r="J22" s="1">
        <v>2.63408233</v>
      </c>
      <c r="K22" s="1">
        <v>0.52413767499999997</v>
      </c>
      <c r="L22" s="1">
        <v>1.10144814</v>
      </c>
      <c r="M22" s="1">
        <v>223.560034</v>
      </c>
      <c r="N22" s="1">
        <v>0.53012651700000002</v>
      </c>
      <c r="O22" s="1">
        <v>1.12823246</v>
      </c>
      <c r="P22" s="1">
        <v>223.560034</v>
      </c>
      <c r="Q22" s="1">
        <v>8.2732394399999995E-4</v>
      </c>
    </row>
    <row r="23" spans="2:17" x14ac:dyDescent="0.3">
      <c r="B23">
        <v>21</v>
      </c>
      <c r="C23" s="1">
        <v>0.20012966099999999</v>
      </c>
      <c r="D23" s="1">
        <v>0.33527674099999999</v>
      </c>
      <c r="E23" s="1">
        <v>0.2</v>
      </c>
      <c r="F23" s="1">
        <v>277.356942</v>
      </c>
      <c r="G23" s="1">
        <v>184.85999200000001</v>
      </c>
      <c r="H23" s="1">
        <v>44.914524800000002</v>
      </c>
      <c r="I23" s="1">
        <v>226.31329600000001</v>
      </c>
      <c r="J23" s="1">
        <v>2.6351319000000002</v>
      </c>
      <c r="K23" s="1">
        <v>0.52291491000000001</v>
      </c>
      <c r="L23" s="1">
        <v>1.0960621500000001</v>
      </c>
      <c r="M23" s="1">
        <v>226.40636900000001</v>
      </c>
      <c r="N23" s="1">
        <v>0.52978310699999998</v>
      </c>
      <c r="O23" s="1">
        <v>1.1266781699999999</v>
      </c>
      <c r="P23" s="1">
        <v>226.40636900000001</v>
      </c>
      <c r="Q23" s="1">
        <v>6.04081223E-4</v>
      </c>
    </row>
    <row r="24" spans="2:17" x14ac:dyDescent="0.3">
      <c r="B24">
        <v>22</v>
      </c>
      <c r="C24" s="1">
        <v>0.210133232</v>
      </c>
      <c r="D24" s="1">
        <v>0.35209153599999998</v>
      </c>
      <c r="E24" s="1">
        <v>0.21</v>
      </c>
      <c r="F24" s="1">
        <v>280.73607399999997</v>
      </c>
      <c r="G24" s="1">
        <v>187.127285</v>
      </c>
      <c r="H24" s="1">
        <v>47.730587999999997</v>
      </c>
      <c r="I24" s="1">
        <v>229.09845799999999</v>
      </c>
      <c r="J24" s="1">
        <v>2.6374068500000001</v>
      </c>
      <c r="K24" s="1">
        <v>0.5214683</v>
      </c>
      <c r="L24" s="1">
        <v>1.0897257199999999</v>
      </c>
      <c r="M24" s="1">
        <v>229.183224</v>
      </c>
      <c r="N24" s="1">
        <v>0.52940516100000001</v>
      </c>
      <c r="O24" s="1">
        <v>1.12497018</v>
      </c>
      <c r="P24" s="1">
        <v>229.183224</v>
      </c>
      <c r="Q24" s="1">
        <v>5.9971931300000002E-4</v>
      </c>
    </row>
    <row r="25" spans="2:17" x14ac:dyDescent="0.3">
      <c r="B25">
        <v>23</v>
      </c>
      <c r="C25" s="1">
        <v>0.220136212</v>
      </c>
      <c r="D25" s="1">
        <v>0.36892875600000002</v>
      </c>
      <c r="E25" s="1">
        <v>0.22</v>
      </c>
      <c r="F25" s="1">
        <v>284.06016</v>
      </c>
      <c r="G25" s="1">
        <v>189.29594800000001</v>
      </c>
      <c r="H25" s="1">
        <v>50.580839300000001</v>
      </c>
      <c r="I25" s="1">
        <v>231.75256200000001</v>
      </c>
      <c r="J25" s="1">
        <v>2.6382307699999998</v>
      </c>
      <c r="K25" s="1">
        <v>0.521602169</v>
      </c>
      <c r="L25" s="1">
        <v>1.0903104800000001</v>
      </c>
      <c r="M25" s="1">
        <v>231.839339</v>
      </c>
      <c r="N25" s="1">
        <v>0.52906590099999995</v>
      </c>
      <c r="O25" s="1">
        <v>1.1234393600000001</v>
      </c>
      <c r="P25" s="1">
        <v>231.839339</v>
      </c>
      <c r="Q25" s="1">
        <v>9.1709630600000003E-4</v>
      </c>
    </row>
    <row r="26" spans="2:17" x14ac:dyDescent="0.3">
      <c r="B26">
        <v>24</v>
      </c>
      <c r="C26" s="1">
        <v>0.23013919899999999</v>
      </c>
      <c r="D26" s="1">
        <v>0.38574439100000002</v>
      </c>
      <c r="E26" s="1">
        <v>0.23</v>
      </c>
      <c r="F26" s="1">
        <v>287.23801800000001</v>
      </c>
      <c r="G26" s="1">
        <v>191.41360900000001</v>
      </c>
      <c r="H26" s="1">
        <v>53.464168000000001</v>
      </c>
      <c r="I26" s="1">
        <v>234.355853</v>
      </c>
      <c r="J26" s="1">
        <v>2.6399119500000001</v>
      </c>
      <c r="K26" s="1">
        <v>0.51960727600000001</v>
      </c>
      <c r="L26" s="1">
        <v>1.0816302</v>
      </c>
      <c r="M26" s="1">
        <v>234.432909</v>
      </c>
      <c r="N26" s="1">
        <v>0.52867179099999995</v>
      </c>
      <c r="O26" s="1">
        <v>1.1216638000000001</v>
      </c>
      <c r="P26" s="1">
        <v>234.432909</v>
      </c>
      <c r="Q26" s="1">
        <v>7.9206402999999997E-4</v>
      </c>
    </row>
    <row r="27" spans="2:17" x14ac:dyDescent="0.3">
      <c r="B27">
        <v>25</v>
      </c>
      <c r="C27" s="1">
        <v>0.24014159099999999</v>
      </c>
      <c r="D27" s="1">
        <v>0.40259060699999999</v>
      </c>
      <c r="E27" s="1">
        <v>0.24</v>
      </c>
      <c r="F27" s="1">
        <v>290.28733599999998</v>
      </c>
      <c r="G27" s="1">
        <v>193.48715799999999</v>
      </c>
      <c r="H27" s="1">
        <v>56.379631500000002</v>
      </c>
      <c r="I27" s="1">
        <v>236.907915</v>
      </c>
      <c r="J27" s="1">
        <v>2.6416946800000001</v>
      </c>
      <c r="K27" s="1">
        <v>0.51848706300000003</v>
      </c>
      <c r="L27" s="1">
        <v>1.0767874</v>
      </c>
      <c r="M27" s="1">
        <v>236.97244599999999</v>
      </c>
      <c r="N27" s="1">
        <v>0.52826440200000002</v>
      </c>
      <c r="O27" s="1">
        <v>1.1198315400000001</v>
      </c>
      <c r="P27" s="1">
        <v>236.97244599999999</v>
      </c>
      <c r="Q27" s="1">
        <v>5.9575840900000004E-4</v>
      </c>
    </row>
    <row r="28" spans="2:17" x14ac:dyDescent="0.3">
      <c r="B28">
        <v>26</v>
      </c>
      <c r="C28" s="1">
        <v>0.25014335199999999</v>
      </c>
      <c r="D28" s="1">
        <v>0.41939680299999998</v>
      </c>
      <c r="E28" s="1">
        <v>0.25</v>
      </c>
      <c r="F28" s="1">
        <v>293.200042</v>
      </c>
      <c r="G28" s="1">
        <v>195.46857800000001</v>
      </c>
      <c r="H28" s="1">
        <v>59.326314199999999</v>
      </c>
      <c r="I28" s="1">
        <v>239.334136</v>
      </c>
      <c r="J28" s="1">
        <v>2.6430539400000002</v>
      </c>
      <c r="K28" s="1">
        <v>0.51868057899999997</v>
      </c>
      <c r="L28" s="1">
        <v>1.07762238</v>
      </c>
      <c r="M28" s="1">
        <v>239.39914200000001</v>
      </c>
      <c r="N28" s="1">
        <v>0.52789579399999997</v>
      </c>
      <c r="O28" s="1">
        <v>1.1181764199999999</v>
      </c>
      <c r="P28" s="1">
        <v>239.39914200000001</v>
      </c>
      <c r="Q28" s="1">
        <v>1.8556465699999999E-4</v>
      </c>
    </row>
    <row r="29" spans="2:17" x14ac:dyDescent="0.3">
      <c r="B29">
        <v>27</v>
      </c>
      <c r="C29" s="1">
        <v>0.26014537500000001</v>
      </c>
      <c r="D29" s="1">
        <v>0.43621647800000002</v>
      </c>
      <c r="E29" s="1">
        <v>0.26</v>
      </c>
      <c r="F29" s="1">
        <v>296.18169999999998</v>
      </c>
      <c r="G29" s="1">
        <v>197.42199600000001</v>
      </c>
      <c r="H29" s="1">
        <v>62.3032331</v>
      </c>
      <c r="I29" s="1">
        <v>241.728882</v>
      </c>
      <c r="J29" s="1">
        <v>2.6444905400000001</v>
      </c>
      <c r="K29" s="1">
        <v>0.51770967300000004</v>
      </c>
      <c r="L29" s="1">
        <v>1.07343989</v>
      </c>
      <c r="M29" s="1">
        <v>241.791652</v>
      </c>
      <c r="N29" s="1">
        <v>0.52751853000000004</v>
      </c>
      <c r="O29" s="1">
        <v>1.1164851200000001</v>
      </c>
      <c r="P29" s="1">
        <v>241.791652</v>
      </c>
      <c r="Q29" s="1">
        <v>9.3439627999999995E-4</v>
      </c>
    </row>
    <row r="30" spans="2:17" x14ac:dyDescent="0.3">
      <c r="B30">
        <v>28</v>
      </c>
      <c r="C30" s="1">
        <v>0.27014704899999997</v>
      </c>
      <c r="D30" s="1">
        <v>0.45304650200000002</v>
      </c>
      <c r="E30" s="1">
        <v>0.27</v>
      </c>
      <c r="F30" s="1">
        <v>299.06039800000002</v>
      </c>
      <c r="G30" s="1">
        <v>199.326401</v>
      </c>
      <c r="H30" s="1">
        <v>65.309604300000004</v>
      </c>
      <c r="I30" s="1">
        <v>244.062884</v>
      </c>
      <c r="J30" s="1">
        <v>2.6459819900000001</v>
      </c>
      <c r="K30" s="1">
        <v>0.51728464900000004</v>
      </c>
      <c r="L30" s="1">
        <v>1.0716142500000001</v>
      </c>
      <c r="M30" s="1">
        <v>244.124045</v>
      </c>
      <c r="N30" s="1">
        <v>0.52715303400000002</v>
      </c>
      <c r="O30" s="1">
        <v>1.11484914</v>
      </c>
      <c r="P30" s="1">
        <v>244.124045</v>
      </c>
      <c r="Q30" s="1">
        <v>6.9013369199999995E-4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 uni0</vt:lpstr>
      <vt:lpstr>sid1687f_udsa_hard0.uds-fitting</vt:lpstr>
      <vt:lpstr>sid1687f_udsa_hard0.uds-verify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2016-06-03T16:16:11Z</dcterms:modified>
</cp:coreProperties>
</file>