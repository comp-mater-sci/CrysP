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84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0" i="1" l="1"/>
  <c r="E4" i="1"/>
  <c r="E5" i="1"/>
  <c r="E6" i="1"/>
  <c r="E7" i="1"/>
  <c r="E3" i="1"/>
  <c r="D4" i="1"/>
  <c r="D5" i="1"/>
  <c r="D6" i="1"/>
  <c r="D7" i="1"/>
  <c r="D3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<sst xmlns="http://schemas.openxmlformats.org/spreadsheetml/2006/main" count="8" uniqueCount="4">
  <si>
    <t>x</t>
  </si>
  <si>
    <t>(ini)</t>
  </si>
  <si>
    <t>gamma_inc</t>
  </si>
  <si>
    <t>Speed-up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</si>
</sst>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568176113358717E-2"/>
          <c:y val="3.5414735837446157E-2"/>
          <c:w val="0.89151451209201571"/>
          <c:h val="0.88467568348214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Speed-up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Sheet1!$D$3:$D$7</c:f>
              <c:numCache>
                <c:formatCode>General</c:formatCode>
                <c:ptCount val="5"/>
                <c:pt idx="0">
                  <c:v>2E-3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0.02</c:v>
                </c:pt>
                <c:pt idx="4">
                  <c:v>0.04</c:v>
                </c:pt>
              </c:numCache>
            </c:numRef>
          </c:xVal>
          <c:yVal>
            <c:numRef>
              <c:f>Sheet1!$E$3:$E$7</c:f>
              <c:numCache>
                <c:formatCode>General</c:formatCode>
                <c:ptCount val="5"/>
                <c:pt idx="0">
                  <c:v>1</c:v>
                </c:pt>
                <c:pt idx="1">
                  <c:v>2.5789692435577725</c:v>
                </c:pt>
                <c:pt idx="2">
                  <c:v>4.5094476744186052</c:v>
                </c:pt>
                <c:pt idx="3">
                  <c:v>8.3065595716198128</c:v>
                </c:pt>
                <c:pt idx="4">
                  <c:v>14.669030732860531</c:v>
                </c:pt>
              </c:numCache>
            </c:numRef>
          </c:yVal>
          <c:smooth val="0"/>
        </c:ser>
        <c:ser>
          <c:idx val="1"/>
          <c:order val="1"/>
          <c:tx>
            <c:v>lin. extrapolation 1st point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Sheet1!$D$9:$D$10</c:f>
              <c:numCache>
                <c:formatCode>General</c:formatCode>
                <c:ptCount val="2"/>
                <c:pt idx="0">
                  <c:v>0</c:v>
                </c:pt>
                <c:pt idx="1">
                  <c:v>0.05</c:v>
                </c:pt>
              </c:numCache>
            </c:numRef>
          </c:xVal>
          <c:yVal>
            <c:numRef>
              <c:f>Sheet1!$E$9:$E$10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8512"/>
        <c:axId val="35486720"/>
      </c:scatterChart>
      <c:valAx>
        <c:axId val="35488512"/>
        <c:scaling>
          <c:orientation val="minMax"/>
          <c:max val="5.000000000000001E-2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nl-BE"/>
          </a:p>
        </c:txPr>
        <c:crossAx val="35486720"/>
        <c:crosses val="autoZero"/>
        <c:crossBetween val="midCat"/>
      </c:valAx>
      <c:valAx>
        <c:axId val="35486720"/>
        <c:scaling>
          <c:orientation val="minMax"/>
          <c:max val="2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nl-BE"/>
          </a:p>
        </c:txPr>
        <c:crossAx val="354885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600903375450161"/>
          <c:y val="4.0405379949515881E-2"/>
          <c:w val="0.75944821936714646"/>
          <c:h val="0.19673335091486771"/>
        </c:manualLayout>
      </c:layout>
      <c:overlay val="0"/>
      <c:txPr>
        <a:bodyPr/>
        <a:lstStyle/>
        <a:p>
          <a:pPr>
            <a:defRPr sz="1800"/>
          </a:pPr>
          <a:endParaRPr lang="nl-B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2</xdr:row>
      <xdr:rowOff>47625</xdr:rowOff>
    </xdr:from>
    <xdr:to>
      <xdr:col>15</xdr:col>
      <xdr:colOff>514351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tabSelected="1" workbookViewId="0">
      <selection activeCell="R21" sqref="R21"/>
    </sheetView>
  </sheetViews>
  <sheetFormatPr defaultRowHeight="15" x14ac:dyDescent="0.25"/>
  <cols>
    <col min="2" max="2" width="1.85546875" customWidth="1"/>
    <col min="3" max="3" width="5.42578125" style="1" customWidth="1"/>
    <col min="4" max="4" width="12.5703125" style="1" customWidth="1"/>
    <col min="5" max="5" width="13.42578125" style="1" customWidth="1"/>
  </cols>
  <sheetData>
    <row r="2" spans="1:6" x14ac:dyDescent="0.25">
      <c r="D2" s="1" t="s">
        <v>2</v>
      </c>
      <c r="E2" s="1" t="s">
        <v>3</v>
      </c>
    </row>
    <row r="3" spans="1:6" x14ac:dyDescent="0.25">
      <c r="A3" t="s">
        <v>1</v>
      </c>
      <c r="B3" t="s">
        <v>0</v>
      </c>
      <c r="C3" s="1">
        <v>1</v>
      </c>
      <c r="D3" s="1">
        <f>0.002*C3</f>
        <v>2E-3</v>
      </c>
      <c r="E3" s="1">
        <f>F$3/F3</f>
        <v>1</v>
      </c>
      <c r="F3">
        <f>17.07-15.02+60</f>
        <v>62.05</v>
      </c>
    </row>
    <row r="4" spans="1:6" x14ac:dyDescent="0.25">
      <c r="B4" t="s">
        <v>0</v>
      </c>
      <c r="C4" s="1">
        <v>2.5</v>
      </c>
      <c r="D4" s="1">
        <f t="shared" ref="D4:D7" si="0">0.002*C4</f>
        <v>5.0000000000000001E-3</v>
      </c>
      <c r="E4" s="1">
        <f t="shared" ref="E4:E7" si="1">F$3/F4</f>
        <v>2.5789692435577725</v>
      </c>
      <c r="F4">
        <f>34.15-10.09</f>
        <v>24.06</v>
      </c>
    </row>
    <row r="5" spans="1:6" x14ac:dyDescent="0.25">
      <c r="B5" t="s">
        <v>0</v>
      </c>
      <c r="C5" s="1">
        <v>5</v>
      </c>
      <c r="D5" s="1">
        <f t="shared" si="0"/>
        <v>0.01</v>
      </c>
      <c r="E5" s="1">
        <f t="shared" si="1"/>
        <v>4.5094476744186052</v>
      </c>
      <c r="F5">
        <f>4.64-50.88+60</f>
        <v>13.759999999999998</v>
      </c>
    </row>
    <row r="6" spans="1:6" x14ac:dyDescent="0.25">
      <c r="B6" t="s">
        <v>0</v>
      </c>
      <c r="C6" s="1">
        <v>10</v>
      </c>
      <c r="D6" s="1">
        <f t="shared" si="0"/>
        <v>0.02</v>
      </c>
      <c r="E6" s="1">
        <f t="shared" si="1"/>
        <v>8.3065595716198128</v>
      </c>
      <c r="F6">
        <f>25.57-18.1</f>
        <v>7.4699999999999989</v>
      </c>
    </row>
    <row r="7" spans="1:6" x14ac:dyDescent="0.25">
      <c r="B7" t="s">
        <v>0</v>
      </c>
      <c r="C7" s="1">
        <v>20</v>
      </c>
      <c r="D7" s="1">
        <f t="shared" si="0"/>
        <v>0.04</v>
      </c>
      <c r="E7" s="1">
        <f t="shared" si="1"/>
        <v>14.669030732860531</v>
      </c>
      <c r="F7">
        <f>38.18-33.95</f>
        <v>4.2299999999999969</v>
      </c>
    </row>
    <row r="9" spans="1:6" x14ac:dyDescent="0.25">
      <c r="D9" s="1">
        <v>0</v>
      </c>
      <c r="E9" s="1">
        <v>0</v>
      </c>
    </row>
    <row r="10" spans="1:6" x14ac:dyDescent="0.25">
      <c r="D10" s="1">
        <v>0.05</v>
      </c>
      <c r="E10" s="1">
        <f>D10/D3</f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Eyckens</dc:creator>
  <cp:lastModifiedBy>Philip Eyckens</cp:lastModifiedBy>
  <dcterms:created xsi:type="dcterms:W3CDTF">2012-11-08T11:22:16Z</dcterms:created>
  <dcterms:modified xsi:type="dcterms:W3CDTF">2012-11-08T11:36:58Z</dcterms:modified>
</cp:coreProperties>
</file>