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8475" activeTab="2"/>
  </bookViews>
  <sheets>
    <sheet name="BCC2.DAT" sheetId="1" r:id="rId1"/>
    <sheet name="floats" sheetId="2" r:id="rId2"/>
    <sheet name="s.s. 1 and 13" sheetId="3" r:id="rId3"/>
  </sheets>
  <calcPr calcId="0"/>
</workbook>
</file>

<file path=xl/calcChain.xml><?xml version="1.0" encoding="utf-8"?>
<calcChain xmlns="http://schemas.openxmlformats.org/spreadsheetml/2006/main">
  <c r="S3" i="3" l="1"/>
  <c r="R3" i="3"/>
  <c r="Q3" i="3"/>
  <c r="I3" i="3"/>
  <c r="H3" i="3"/>
  <c r="G3" i="3"/>
  <c r="B7" i="2"/>
  <c r="B6" i="2"/>
  <c r="B5" i="2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S30" i="1"/>
  <c r="Q30" i="1"/>
  <c r="O30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Q18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O18" i="1"/>
  <c r="R18" i="1"/>
  <c r="P18" i="1"/>
  <c r="N18" i="1"/>
  <c r="S17" i="1"/>
  <c r="R17" i="1"/>
  <c r="Q17" i="1"/>
  <c r="P17" i="1"/>
  <c r="O17" i="1"/>
  <c r="N17" i="1"/>
  <c r="S16" i="1"/>
  <c r="R16" i="1"/>
  <c r="Q16" i="1"/>
  <c r="P16" i="1"/>
  <c r="O16" i="1"/>
  <c r="N16" i="1"/>
  <c r="S15" i="1"/>
  <c r="R15" i="1"/>
  <c r="Q15" i="1"/>
  <c r="P15" i="1"/>
  <c r="O15" i="1"/>
  <c r="N15" i="1"/>
  <c r="S14" i="1"/>
  <c r="R14" i="1"/>
  <c r="Q14" i="1"/>
  <c r="P14" i="1"/>
  <c r="O14" i="1"/>
  <c r="N14" i="1"/>
  <c r="S13" i="1"/>
  <c r="R13" i="1"/>
  <c r="Q13" i="1"/>
  <c r="P13" i="1"/>
  <c r="O13" i="1"/>
  <c r="N13" i="1"/>
  <c r="S12" i="1"/>
  <c r="R12" i="1"/>
  <c r="Q12" i="1"/>
  <c r="P12" i="1"/>
  <c r="O12" i="1"/>
  <c r="N12" i="1"/>
  <c r="S11" i="1"/>
  <c r="R11" i="1"/>
  <c r="Q11" i="1"/>
  <c r="P11" i="1"/>
  <c r="O11" i="1"/>
  <c r="N11" i="1"/>
  <c r="S10" i="1"/>
  <c r="R10" i="1"/>
  <c r="Q10" i="1"/>
  <c r="P10" i="1"/>
  <c r="O10" i="1"/>
  <c r="N10" i="1"/>
  <c r="S9" i="1"/>
  <c r="R9" i="1"/>
  <c r="Q9" i="1"/>
  <c r="P9" i="1"/>
  <c r="O9" i="1"/>
  <c r="N9" i="1"/>
  <c r="S8" i="1"/>
  <c r="R8" i="1"/>
  <c r="Q8" i="1"/>
  <c r="P8" i="1"/>
  <c r="O8" i="1"/>
  <c r="N8" i="1"/>
  <c r="S7" i="1"/>
  <c r="R7" i="1"/>
  <c r="Q7" i="1"/>
  <c r="P7" i="1"/>
  <c r="O7" i="1"/>
  <c r="N7" i="1"/>
  <c r="S6" i="1"/>
  <c r="Q6" i="1"/>
  <c r="O6" i="1"/>
  <c r="P6" i="1"/>
  <c r="R6" i="1"/>
  <c r="N6" i="1"/>
  <c r="B4" i="2"/>
  <c r="B3" i="2"/>
  <c r="B2" i="2"/>
  <c r="B1" i="2"/>
  <c r="J29" i="1"/>
  <c r="I29" i="1"/>
  <c r="H29" i="1"/>
  <c r="L29" i="1" s="1"/>
  <c r="J28" i="1"/>
  <c r="I28" i="1"/>
  <c r="H28" i="1"/>
  <c r="J27" i="1"/>
  <c r="I27" i="1"/>
  <c r="H27" i="1"/>
  <c r="L27" i="1" s="1"/>
  <c r="J26" i="1"/>
  <c r="I26" i="1"/>
  <c r="H26" i="1"/>
  <c r="J25" i="1"/>
  <c r="I25" i="1"/>
  <c r="H25" i="1"/>
  <c r="L25" i="1" s="1"/>
  <c r="J24" i="1"/>
  <c r="I24" i="1"/>
  <c r="H24" i="1"/>
  <c r="J23" i="1"/>
  <c r="I23" i="1"/>
  <c r="H23" i="1"/>
  <c r="L23" i="1" s="1"/>
  <c r="J22" i="1"/>
  <c r="I22" i="1"/>
  <c r="H22" i="1"/>
  <c r="J21" i="1"/>
  <c r="I21" i="1"/>
  <c r="H21" i="1"/>
  <c r="L21" i="1" s="1"/>
  <c r="J20" i="1"/>
  <c r="I20" i="1"/>
  <c r="H20" i="1"/>
  <c r="J19" i="1"/>
  <c r="I19" i="1"/>
  <c r="H19" i="1"/>
  <c r="L19" i="1" s="1"/>
  <c r="J18" i="1"/>
  <c r="I18" i="1"/>
  <c r="H18" i="1"/>
  <c r="J13" i="1"/>
  <c r="J14" i="1"/>
  <c r="J15" i="1"/>
  <c r="J16" i="1"/>
  <c r="J17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12" i="1"/>
  <c r="J11" i="1"/>
  <c r="J10" i="1"/>
  <c r="J9" i="1"/>
  <c r="J8" i="1"/>
  <c r="J7" i="1"/>
  <c r="J6" i="1"/>
  <c r="H14" i="1"/>
  <c r="H11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17" i="1"/>
  <c r="H17" i="1"/>
  <c r="I16" i="1"/>
  <c r="H16" i="1"/>
  <c r="I15" i="1"/>
  <c r="H15" i="1"/>
  <c r="I14" i="1"/>
  <c r="I13" i="1"/>
  <c r="H13" i="1"/>
  <c r="L13" i="1" s="1"/>
  <c r="I12" i="1"/>
  <c r="H12" i="1"/>
  <c r="I11" i="1"/>
  <c r="I10" i="1"/>
  <c r="H10" i="1"/>
  <c r="I9" i="1"/>
  <c r="H9" i="1"/>
  <c r="I8" i="1"/>
  <c r="H8" i="1"/>
  <c r="I7" i="1"/>
  <c r="H7" i="1"/>
  <c r="H6" i="1"/>
  <c r="I6" i="1"/>
  <c r="L6" i="1" l="1"/>
  <c r="L7" i="1"/>
  <c r="L8" i="1"/>
  <c r="L9" i="1"/>
  <c r="L10" i="1"/>
  <c r="L12" i="1"/>
  <c r="L15" i="1"/>
  <c r="L16" i="1"/>
  <c r="L17" i="1"/>
  <c r="L11" i="1"/>
  <c r="L14" i="1"/>
  <c r="L18" i="1"/>
  <c r="L20" i="1"/>
  <c r="L22" i="1"/>
  <c r="L24" i="1"/>
  <c r="L26" i="1"/>
  <c r="L28" i="1"/>
</calcChain>
</file>

<file path=xl/sharedStrings.xml><?xml version="1.0" encoding="utf-8"?>
<sst xmlns="http://schemas.openxmlformats.org/spreadsheetml/2006/main" count="142" uniqueCount="47">
  <si>
    <t>BCC</t>
  </si>
  <si>
    <t>-</t>
  </si>
  <si>
    <t>SLI</t>
  </si>
  <si>
    <t>P O</t>
  </si>
  <si>
    <t>N {</t>
  </si>
  <si>
    <t>}, {112} AND {123} PLANES IN &lt;111&gt; DIRECTIONS.</t>
  </si>
  <si>
    <t>0.0                 0.0</t>
  </si>
  <si>
    <t>1.0                 0.0</t>
  </si>
  <si>
    <t>0.0                 1.0</t>
  </si>
  <si>
    <t>ScrewMovementDir = b x n</t>
  </si>
  <si>
    <t>norm^2</t>
  </si>
  <si>
    <t>1/SQRT(3)</t>
  </si>
  <si>
    <t>1/SQRT(2)</t>
  </si>
  <si>
    <t>1/SQRT(6)</t>
  </si>
  <si>
    <t>2/SQRT(6)</t>
  </si>
  <si>
    <t xml:space="preserve">      DATA (mDirSS( 1,i),i=1,3) /p3,p3,p3/</t>
  </si>
  <si>
    <t>s.s.</t>
  </si>
  <si>
    <t>1/SQRT(42)</t>
  </si>
  <si>
    <t>4/SQRT(42)</t>
  </si>
  <si>
    <t>5/SQRT(42)</t>
  </si>
  <si>
    <t>ScrewSlip = FALSE</t>
  </si>
  <si>
    <t>eff(1,1)</t>
  </si>
  <si>
    <t>0.000000000000000D+000</t>
  </si>
  <si>
    <t xml:space="preserve">REAL(8) </t>
  </si>
  <si>
    <t>eff(1,2)</t>
  </si>
  <si>
    <t>eff(1,3)</t>
  </si>
  <si>
    <t>eff(1,4)</t>
  </si>
  <si>
    <t>eff(1,5)</t>
  </si>
  <si>
    <t>eff(1,6)</t>
  </si>
  <si>
    <t>ScrewSlip = TRUE</t>
  </si>
  <si>
    <t xml:space="preserve"> # CBB1(01-1) : [1]RHOwd [2]RHOwp [3]RHOwdHOM [4]accGAMMA_new [5]RHOwd_ini  </t>
  </si>
  <si>
    <t xml:space="preserve"> # CBB2(-101) : [1]RHOwd [2]RHOwp [3]RHOwdHOM [4]accGAMMA_new [5]RHOwd_ini  </t>
  </si>
  <si>
    <t xml:space="preserve"> # CBB3(1-10) : [1]RHOwd [2]RHOwp [3]RHOwdHOM [4]accGAMMA_new [5]RHOwd_ini  </t>
  </si>
  <si>
    <t xml:space="preserve"> # CBB4(0-1-1): [1]RHOwd [2]RHOwp [3]RHOwdHOM [4]accGAMMA_new [5]RHOwd_ini  </t>
  </si>
  <si>
    <t xml:space="preserve"> # CBB5(101)  : [1]RHOwd [2]RHOwp [3]RHOwdHOM [4]accGAMMA_new [5]RHOwd_ini  </t>
  </si>
  <si>
    <t xml:space="preserve"> # CBB6(-1-10): [1]RHOwd [2]RHOwp [3]RHOwdHOM [4]accGAMMA_new [5]RHOwd_ini  </t>
  </si>
  <si>
    <t xml:space="preserve"> </t>
  </si>
  <si>
    <t>slip plane normal</t>
  </si>
  <si>
    <t>burger</t>
  </si>
  <si>
    <t>eff(13,1)</t>
  </si>
  <si>
    <t>eff(13,2)</t>
  </si>
  <si>
    <t>eff(13,3)</t>
  </si>
  <si>
    <t>eff(13,4)</t>
  </si>
  <si>
    <t>eff(13,5)</t>
  </si>
  <si>
    <t>eff(13,6)</t>
  </si>
  <si>
    <t>Slip system 1:</t>
  </si>
  <si>
    <t>Slip system 13: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</si>
</sst>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Border="1"/>
    <xf numFmtId="0" fontId="0" fillId="0" borderId="10" xfId="0" applyBorder="1"/>
    <xf numFmtId="0" fontId="0" fillId="33" borderId="10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33" borderId="10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64" fontId="0" fillId="0" borderId="0" xfId="0" applyNumberForma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34" borderId="0" xfId="0" applyFill="1"/>
    <xf numFmtId="0" fontId="19" fillId="0" borderId="0" xfId="0" applyFont="1"/>
    <xf numFmtId="0" fontId="16" fillId="35" borderId="0" xfId="0" applyFont="1" applyFill="1"/>
    <xf numFmtId="0" fontId="19" fillId="34" borderId="0" xfId="0" applyFont="1" applyFill="1"/>
    <xf numFmtId="0" fontId="16" fillId="34" borderId="0" xfId="0" applyFont="1" applyFill="1"/>
    <xf numFmtId="0" fontId="0" fillId="33" borderId="15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>
      <selection activeCell="A18" sqref="A18:J18"/>
    </sheetView>
  </sheetViews>
  <sheetFormatPr defaultRowHeight="15" x14ac:dyDescent="0.25"/>
  <cols>
    <col min="3" max="3" width="9.140625" style="4"/>
    <col min="6" max="6" width="9.140625" style="4"/>
    <col min="13" max="13" width="9.140625" style="11"/>
    <col min="14" max="19" width="4.7109375" style="8" customWidth="1"/>
  </cols>
  <sheetData>
    <row r="1" spans="1:20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s="4">
        <v>110</v>
      </c>
      <c r="G1" t="s">
        <v>5</v>
      </c>
    </row>
    <row r="2" spans="1:20" x14ac:dyDescent="0.25">
      <c r="A2">
        <v>1</v>
      </c>
      <c r="G2" t="s">
        <v>6</v>
      </c>
    </row>
    <row r="3" spans="1:20" x14ac:dyDescent="0.25">
      <c r="A3">
        <v>0</v>
      </c>
      <c r="G3" t="s">
        <v>7</v>
      </c>
      <c r="T3" t="s">
        <v>15</v>
      </c>
    </row>
    <row r="4" spans="1:20" x14ac:dyDescent="0.25">
      <c r="A4">
        <v>0</v>
      </c>
      <c r="G4" t="s">
        <v>8</v>
      </c>
    </row>
    <row r="5" spans="1:20" s="2" customFormat="1" x14ac:dyDescent="0.25">
      <c r="A5" s="2">
        <v>48</v>
      </c>
      <c r="B5" s="2">
        <v>0</v>
      </c>
      <c r="C5" s="5"/>
      <c r="F5" s="5"/>
      <c r="H5" s="3" t="s">
        <v>9</v>
      </c>
      <c r="I5" s="3"/>
      <c r="J5" s="3"/>
      <c r="L5" s="6" t="s">
        <v>10</v>
      </c>
      <c r="M5" s="12" t="s">
        <v>16</v>
      </c>
      <c r="N5" s="9"/>
      <c r="O5" s="9"/>
      <c r="P5" s="9"/>
      <c r="Q5" s="9"/>
      <c r="R5" s="9"/>
      <c r="S5" s="9"/>
    </row>
    <row r="6" spans="1:20" s="1" customFormat="1" x14ac:dyDescent="0.25">
      <c r="A6" s="1">
        <v>0</v>
      </c>
      <c r="B6" s="1">
        <v>1</v>
      </c>
      <c r="C6" s="4">
        <v>-1</v>
      </c>
      <c r="D6" s="1">
        <v>1</v>
      </c>
      <c r="E6" s="1">
        <v>1</v>
      </c>
      <c r="F6" s="4">
        <v>1</v>
      </c>
      <c r="H6" s="1">
        <f>E6*C6-F6*B6</f>
        <v>-2</v>
      </c>
      <c r="I6" s="1">
        <f>F6*A6-D6*C6</f>
        <v>1</v>
      </c>
      <c r="J6" s="1">
        <f t="shared" ref="J6:J53" si="0">D6*B6-E6*A6</f>
        <v>1</v>
      </c>
      <c r="L6" s="1">
        <f>H6^2+I6^2+J6^2</f>
        <v>6</v>
      </c>
      <c r="M6" s="13">
        <v>1</v>
      </c>
      <c r="N6" s="10" t="str">
        <f>IF(H6&lt;0,"n",IF(H6=0,"0","p"))</f>
        <v>n</v>
      </c>
      <c r="O6" s="10" t="str">
        <f>IF(ABS(H6)=1,TEXT($L6,"0"),CONCATENATE("d",TEXT($L6,"0")))</f>
        <v>d6</v>
      </c>
      <c r="P6" s="10" t="str">
        <f>IF(I6&lt;0,"n",IF(I6=0,"0","p"))</f>
        <v>p</v>
      </c>
      <c r="Q6" s="10" t="str">
        <f>IF(ABS(I6)=1,TEXT($L6,"0"),CONCATENATE("d",TEXT($L6,"0")))</f>
        <v>6</v>
      </c>
      <c r="R6" s="10" t="str">
        <f>IF(J6&lt;0,"n",IF(J6=0,"0","p"))</f>
        <v>p</v>
      </c>
      <c r="S6" s="10" t="str">
        <f>IF(ABS(J6)=1,TEXT($L6,"0"),CONCATENATE("d",TEXT($L6,"0")))</f>
        <v>6</v>
      </c>
      <c r="T6" s="1" t="str">
        <f>CONCATENATE("      DATA (mDirSS(",TEXT(M6,"00"),",i),i=1,3) /",N6,O6,",",P6,Q6,",",R6,S6,"/ !s.s. ",TEXT(M6,"00"))</f>
        <v xml:space="preserve">      DATA (mDirSS(01,i),i=1,3) /nd6,p6,p6/ !s.s. 01</v>
      </c>
    </row>
    <row r="7" spans="1:20" s="1" customFormat="1" x14ac:dyDescent="0.25">
      <c r="A7" s="1">
        <v>-1</v>
      </c>
      <c r="B7" s="1">
        <v>0</v>
      </c>
      <c r="C7" s="4">
        <v>1</v>
      </c>
      <c r="D7" s="1">
        <v>1</v>
      </c>
      <c r="E7" s="1">
        <v>1</v>
      </c>
      <c r="F7" s="4">
        <v>1</v>
      </c>
      <c r="H7" s="1">
        <f t="shared" ref="H7:H53" si="1">E7*C7-F7*B7</f>
        <v>1</v>
      </c>
      <c r="I7" s="1">
        <f t="shared" ref="I7:I53" si="2">F7*A7-D7*C7</f>
        <v>-2</v>
      </c>
      <c r="J7" s="1">
        <f t="shared" si="0"/>
        <v>1</v>
      </c>
      <c r="L7" s="1">
        <f t="shared" ref="L7:L53" si="3">H7^2+I7^2+J7^2</f>
        <v>6</v>
      </c>
      <c r="M7" s="13">
        <v>2</v>
      </c>
      <c r="N7" s="10" t="str">
        <f t="shared" ref="N7:N17" si="4">IF(H7&lt;0,"n",IF(H7=0,"0","p"))</f>
        <v>p</v>
      </c>
      <c r="O7" s="10" t="str">
        <f t="shared" ref="O7:O17" si="5">IF(ABS(H7)=1,TEXT($L7,"0"),CONCATENATE("d",TEXT($L7,"0")))</f>
        <v>6</v>
      </c>
      <c r="P7" s="10" t="str">
        <f t="shared" ref="P7:P17" si="6">IF(I7&lt;0,"n",IF(I7=0,"0","p"))</f>
        <v>n</v>
      </c>
      <c r="Q7" s="10" t="str">
        <f t="shared" ref="Q7:Q17" si="7">IF(ABS(I7)=1,TEXT($L7,"0"),CONCATENATE("d",TEXT($L7,"0")))</f>
        <v>d6</v>
      </c>
      <c r="R7" s="10" t="str">
        <f t="shared" ref="R7:R17" si="8">IF(J7&lt;0,"n",IF(J7=0,"0","p"))</f>
        <v>p</v>
      </c>
      <c r="S7" s="10" t="str">
        <f t="shared" ref="S7:S17" si="9">IF(ABS(J7)=1,TEXT($L7,"0"),CONCATENATE("d",TEXT($L7,"0")))</f>
        <v>6</v>
      </c>
      <c r="T7" s="1" t="str">
        <f t="shared" ref="T7:T30" si="10">CONCATENATE("      DATA (mDirSS(",TEXT(M7,"00"),",i),i=1,3) /",N7,O7,",",P7,Q7,",",R7,S7,"/ !s.s. ",TEXT(M7,"00"))</f>
        <v xml:space="preserve">      DATA (mDirSS(02,i),i=1,3) /p6,nd6,p6/ !s.s. 02</v>
      </c>
    </row>
    <row r="8" spans="1:20" s="1" customFormat="1" x14ac:dyDescent="0.25">
      <c r="A8" s="1">
        <v>1</v>
      </c>
      <c r="B8" s="1">
        <v>-1</v>
      </c>
      <c r="C8" s="4">
        <v>0</v>
      </c>
      <c r="D8" s="1">
        <v>1</v>
      </c>
      <c r="E8" s="1">
        <v>1</v>
      </c>
      <c r="F8" s="4">
        <v>1</v>
      </c>
      <c r="H8" s="1">
        <f t="shared" si="1"/>
        <v>1</v>
      </c>
      <c r="I8" s="1">
        <f t="shared" si="2"/>
        <v>1</v>
      </c>
      <c r="J8" s="1">
        <f t="shared" si="0"/>
        <v>-2</v>
      </c>
      <c r="L8" s="1">
        <f t="shared" si="3"/>
        <v>6</v>
      </c>
      <c r="M8" s="13">
        <v>3</v>
      </c>
      <c r="N8" s="10" t="str">
        <f t="shared" si="4"/>
        <v>p</v>
      </c>
      <c r="O8" s="10" t="str">
        <f t="shared" si="5"/>
        <v>6</v>
      </c>
      <c r="P8" s="10" t="str">
        <f t="shared" si="6"/>
        <v>p</v>
      </c>
      <c r="Q8" s="10" t="str">
        <f t="shared" si="7"/>
        <v>6</v>
      </c>
      <c r="R8" s="10" t="str">
        <f t="shared" si="8"/>
        <v>n</v>
      </c>
      <c r="S8" s="10" t="str">
        <f t="shared" si="9"/>
        <v>d6</v>
      </c>
      <c r="T8" s="1" t="str">
        <f t="shared" si="10"/>
        <v xml:space="preserve">      DATA (mDirSS(03,i),i=1,3) /p6,p6,nd6/ !s.s. 03</v>
      </c>
    </row>
    <row r="9" spans="1:20" s="1" customFormat="1" x14ac:dyDescent="0.25">
      <c r="A9" s="1">
        <v>0</v>
      </c>
      <c r="B9" s="1">
        <v>-1</v>
      </c>
      <c r="C9" s="4">
        <v>-1</v>
      </c>
      <c r="D9" s="1">
        <v>-1</v>
      </c>
      <c r="E9" s="1">
        <v>-1</v>
      </c>
      <c r="F9" s="4">
        <v>1</v>
      </c>
      <c r="H9" s="1">
        <f t="shared" si="1"/>
        <v>2</v>
      </c>
      <c r="I9" s="1">
        <f t="shared" si="2"/>
        <v>-1</v>
      </c>
      <c r="J9" s="1">
        <f t="shared" si="0"/>
        <v>1</v>
      </c>
      <c r="L9" s="1">
        <f t="shared" si="3"/>
        <v>6</v>
      </c>
      <c r="M9" s="13">
        <v>4</v>
      </c>
      <c r="N9" s="10" t="str">
        <f t="shared" si="4"/>
        <v>p</v>
      </c>
      <c r="O9" s="10" t="str">
        <f t="shared" si="5"/>
        <v>d6</v>
      </c>
      <c r="P9" s="10" t="str">
        <f t="shared" si="6"/>
        <v>n</v>
      </c>
      <c r="Q9" s="10" t="str">
        <f t="shared" si="7"/>
        <v>6</v>
      </c>
      <c r="R9" s="10" t="str">
        <f t="shared" si="8"/>
        <v>p</v>
      </c>
      <c r="S9" s="10" t="str">
        <f t="shared" si="9"/>
        <v>6</v>
      </c>
      <c r="T9" s="1" t="str">
        <f t="shared" si="10"/>
        <v xml:space="preserve">      DATA (mDirSS(04,i),i=1,3) /pd6,n6,p6/ !s.s. 04</v>
      </c>
    </row>
    <row r="10" spans="1:20" s="1" customFormat="1" x14ac:dyDescent="0.25">
      <c r="A10" s="1">
        <v>1</v>
      </c>
      <c r="B10" s="1">
        <v>0</v>
      </c>
      <c r="C10" s="4">
        <v>1</v>
      </c>
      <c r="D10" s="1">
        <v>-1</v>
      </c>
      <c r="E10" s="1">
        <v>-1</v>
      </c>
      <c r="F10" s="4">
        <v>1</v>
      </c>
      <c r="H10" s="1">
        <f t="shared" si="1"/>
        <v>-1</v>
      </c>
      <c r="I10" s="1">
        <f t="shared" si="2"/>
        <v>2</v>
      </c>
      <c r="J10" s="1">
        <f t="shared" si="0"/>
        <v>1</v>
      </c>
      <c r="L10" s="1">
        <f t="shared" si="3"/>
        <v>6</v>
      </c>
      <c r="M10" s="13">
        <v>5</v>
      </c>
      <c r="N10" s="10" t="str">
        <f t="shared" si="4"/>
        <v>n</v>
      </c>
      <c r="O10" s="10" t="str">
        <f t="shared" si="5"/>
        <v>6</v>
      </c>
      <c r="P10" s="10" t="str">
        <f t="shared" si="6"/>
        <v>p</v>
      </c>
      <c r="Q10" s="10" t="str">
        <f t="shared" si="7"/>
        <v>d6</v>
      </c>
      <c r="R10" s="10" t="str">
        <f t="shared" si="8"/>
        <v>p</v>
      </c>
      <c r="S10" s="10" t="str">
        <f t="shared" si="9"/>
        <v>6</v>
      </c>
      <c r="T10" s="1" t="str">
        <f t="shared" si="10"/>
        <v xml:space="preserve">      DATA (mDirSS(05,i),i=1,3) /n6,pd6,p6/ !s.s. 05</v>
      </c>
    </row>
    <row r="11" spans="1:20" s="1" customFormat="1" x14ac:dyDescent="0.25">
      <c r="A11" s="1">
        <v>-1</v>
      </c>
      <c r="B11" s="1">
        <v>1</v>
      </c>
      <c r="C11" s="4">
        <v>0</v>
      </c>
      <c r="D11" s="1">
        <v>-1</v>
      </c>
      <c r="E11" s="1">
        <v>-1</v>
      </c>
      <c r="F11" s="4">
        <v>1</v>
      </c>
      <c r="H11" s="1">
        <f>E11*C11-F11*B11</f>
        <v>-1</v>
      </c>
      <c r="I11" s="1">
        <f t="shared" si="2"/>
        <v>-1</v>
      </c>
      <c r="J11" s="1">
        <f t="shared" si="0"/>
        <v>-2</v>
      </c>
      <c r="L11" s="1">
        <f t="shared" si="3"/>
        <v>6</v>
      </c>
      <c r="M11" s="13">
        <v>6</v>
      </c>
      <c r="N11" s="10" t="str">
        <f t="shared" si="4"/>
        <v>n</v>
      </c>
      <c r="O11" s="10" t="str">
        <f t="shared" si="5"/>
        <v>6</v>
      </c>
      <c r="P11" s="10" t="str">
        <f t="shared" si="6"/>
        <v>n</v>
      </c>
      <c r="Q11" s="10" t="str">
        <f t="shared" si="7"/>
        <v>6</v>
      </c>
      <c r="R11" s="10" t="str">
        <f t="shared" si="8"/>
        <v>n</v>
      </c>
      <c r="S11" s="10" t="str">
        <f t="shared" si="9"/>
        <v>d6</v>
      </c>
      <c r="T11" s="1" t="str">
        <f t="shared" si="10"/>
        <v xml:space="preserve">      DATA (mDirSS(06,i),i=1,3) /n6,n6,nd6/ !s.s. 06</v>
      </c>
    </row>
    <row r="12" spans="1:20" s="1" customFormat="1" x14ac:dyDescent="0.25">
      <c r="A12" s="1">
        <v>0</v>
      </c>
      <c r="B12" s="1">
        <v>1</v>
      </c>
      <c r="C12" s="4">
        <v>-1</v>
      </c>
      <c r="D12" s="1">
        <v>-1</v>
      </c>
      <c r="E12" s="1">
        <v>1</v>
      </c>
      <c r="F12" s="4">
        <v>1</v>
      </c>
      <c r="H12" s="1">
        <f t="shared" si="1"/>
        <v>-2</v>
      </c>
      <c r="I12" s="1">
        <f t="shared" si="2"/>
        <v>-1</v>
      </c>
      <c r="J12" s="1">
        <f t="shared" si="0"/>
        <v>-1</v>
      </c>
      <c r="L12" s="1">
        <f t="shared" si="3"/>
        <v>6</v>
      </c>
      <c r="M12" s="13">
        <v>7</v>
      </c>
      <c r="N12" s="10" t="str">
        <f t="shared" si="4"/>
        <v>n</v>
      </c>
      <c r="O12" s="10" t="str">
        <f t="shared" si="5"/>
        <v>d6</v>
      </c>
      <c r="P12" s="10" t="str">
        <f t="shared" si="6"/>
        <v>n</v>
      </c>
      <c r="Q12" s="10" t="str">
        <f t="shared" si="7"/>
        <v>6</v>
      </c>
      <c r="R12" s="10" t="str">
        <f t="shared" si="8"/>
        <v>n</v>
      </c>
      <c r="S12" s="10" t="str">
        <f t="shared" si="9"/>
        <v>6</v>
      </c>
      <c r="T12" s="1" t="str">
        <f t="shared" si="10"/>
        <v xml:space="preserve">      DATA (mDirSS(07,i),i=1,3) /nd6,n6,n6/ !s.s. 07</v>
      </c>
    </row>
    <row r="13" spans="1:20" s="1" customFormat="1" x14ac:dyDescent="0.25">
      <c r="A13" s="1">
        <v>1</v>
      </c>
      <c r="B13" s="1">
        <v>0</v>
      </c>
      <c r="C13" s="4">
        <v>1</v>
      </c>
      <c r="D13" s="1">
        <v>-1</v>
      </c>
      <c r="E13" s="1">
        <v>1</v>
      </c>
      <c r="F13" s="4">
        <v>1</v>
      </c>
      <c r="H13" s="1">
        <f t="shared" si="1"/>
        <v>1</v>
      </c>
      <c r="I13" s="1">
        <f t="shared" si="2"/>
        <v>2</v>
      </c>
      <c r="J13" s="1">
        <f t="shared" si="0"/>
        <v>-1</v>
      </c>
      <c r="L13" s="1">
        <f t="shared" si="3"/>
        <v>6</v>
      </c>
      <c r="M13" s="13">
        <v>8</v>
      </c>
      <c r="N13" s="10" t="str">
        <f t="shared" si="4"/>
        <v>p</v>
      </c>
      <c r="O13" s="10" t="str">
        <f t="shared" si="5"/>
        <v>6</v>
      </c>
      <c r="P13" s="10" t="str">
        <f t="shared" si="6"/>
        <v>p</v>
      </c>
      <c r="Q13" s="10" t="str">
        <f t="shared" si="7"/>
        <v>d6</v>
      </c>
      <c r="R13" s="10" t="str">
        <f t="shared" si="8"/>
        <v>n</v>
      </c>
      <c r="S13" s="10" t="str">
        <f t="shared" si="9"/>
        <v>6</v>
      </c>
      <c r="T13" s="1" t="str">
        <f t="shared" si="10"/>
        <v xml:space="preserve">      DATA (mDirSS(08,i),i=1,3) /p6,pd6,n6/ !s.s. 08</v>
      </c>
    </row>
    <row r="14" spans="1:20" s="1" customFormat="1" x14ac:dyDescent="0.25">
      <c r="A14" s="1">
        <v>-1</v>
      </c>
      <c r="B14" s="1">
        <v>-1</v>
      </c>
      <c r="C14" s="4">
        <v>0</v>
      </c>
      <c r="D14" s="1">
        <v>-1</v>
      </c>
      <c r="E14" s="1">
        <v>1</v>
      </c>
      <c r="F14" s="4">
        <v>1</v>
      </c>
      <c r="H14" s="1">
        <f>E14*C14-F14*B14</f>
        <v>1</v>
      </c>
      <c r="I14" s="1">
        <f t="shared" si="2"/>
        <v>-1</v>
      </c>
      <c r="J14" s="1">
        <f t="shared" si="0"/>
        <v>2</v>
      </c>
      <c r="L14" s="1">
        <f t="shared" si="3"/>
        <v>6</v>
      </c>
      <c r="M14" s="13">
        <v>9</v>
      </c>
      <c r="N14" s="10" t="str">
        <f t="shared" si="4"/>
        <v>p</v>
      </c>
      <c r="O14" s="10" t="str">
        <f t="shared" si="5"/>
        <v>6</v>
      </c>
      <c r="P14" s="10" t="str">
        <f t="shared" si="6"/>
        <v>n</v>
      </c>
      <c r="Q14" s="10" t="str">
        <f t="shared" si="7"/>
        <v>6</v>
      </c>
      <c r="R14" s="10" t="str">
        <f t="shared" si="8"/>
        <v>p</v>
      </c>
      <c r="S14" s="10" t="str">
        <f t="shared" si="9"/>
        <v>d6</v>
      </c>
      <c r="T14" s="1" t="str">
        <f t="shared" si="10"/>
        <v xml:space="preserve">      DATA (mDirSS(09,i),i=1,3) /p6,n6,pd6/ !s.s. 09</v>
      </c>
    </row>
    <row r="15" spans="1:20" s="1" customFormat="1" x14ac:dyDescent="0.25">
      <c r="A15" s="1">
        <v>0</v>
      </c>
      <c r="B15" s="1">
        <v>-1</v>
      </c>
      <c r="C15" s="4">
        <v>-1</v>
      </c>
      <c r="D15" s="1">
        <v>1</v>
      </c>
      <c r="E15" s="1">
        <v>-1</v>
      </c>
      <c r="F15" s="4">
        <v>1</v>
      </c>
      <c r="H15" s="1">
        <f t="shared" si="1"/>
        <v>2</v>
      </c>
      <c r="I15" s="1">
        <f t="shared" si="2"/>
        <v>1</v>
      </c>
      <c r="J15" s="1">
        <f t="shared" si="0"/>
        <v>-1</v>
      </c>
      <c r="L15" s="1">
        <f t="shared" si="3"/>
        <v>6</v>
      </c>
      <c r="M15" s="13">
        <v>10</v>
      </c>
      <c r="N15" s="10" t="str">
        <f t="shared" si="4"/>
        <v>p</v>
      </c>
      <c r="O15" s="10" t="str">
        <f t="shared" si="5"/>
        <v>d6</v>
      </c>
      <c r="P15" s="10" t="str">
        <f t="shared" si="6"/>
        <v>p</v>
      </c>
      <c r="Q15" s="10" t="str">
        <f t="shared" si="7"/>
        <v>6</v>
      </c>
      <c r="R15" s="10" t="str">
        <f t="shared" si="8"/>
        <v>n</v>
      </c>
      <c r="S15" s="10" t="str">
        <f t="shared" si="9"/>
        <v>6</v>
      </c>
      <c r="T15" s="1" t="str">
        <f t="shared" si="10"/>
        <v xml:space="preserve">      DATA (mDirSS(10,i),i=1,3) /pd6,p6,n6/ !s.s. 10</v>
      </c>
    </row>
    <row r="16" spans="1:20" s="1" customFormat="1" x14ac:dyDescent="0.25">
      <c r="A16" s="1">
        <v>-1</v>
      </c>
      <c r="B16" s="1">
        <v>0</v>
      </c>
      <c r="C16" s="4">
        <v>1</v>
      </c>
      <c r="D16" s="1">
        <v>1</v>
      </c>
      <c r="E16" s="1">
        <v>-1</v>
      </c>
      <c r="F16" s="4">
        <v>1</v>
      </c>
      <c r="H16" s="1">
        <f t="shared" si="1"/>
        <v>-1</v>
      </c>
      <c r="I16" s="1">
        <f t="shared" si="2"/>
        <v>-2</v>
      </c>
      <c r="J16" s="1">
        <f t="shared" si="0"/>
        <v>-1</v>
      </c>
      <c r="L16" s="1">
        <f t="shared" si="3"/>
        <v>6</v>
      </c>
      <c r="M16" s="13">
        <v>11</v>
      </c>
      <c r="N16" s="10" t="str">
        <f t="shared" si="4"/>
        <v>n</v>
      </c>
      <c r="O16" s="10" t="str">
        <f t="shared" si="5"/>
        <v>6</v>
      </c>
      <c r="P16" s="10" t="str">
        <f t="shared" si="6"/>
        <v>n</v>
      </c>
      <c r="Q16" s="10" t="str">
        <f t="shared" si="7"/>
        <v>d6</v>
      </c>
      <c r="R16" s="10" t="str">
        <f t="shared" si="8"/>
        <v>n</v>
      </c>
      <c r="S16" s="10" t="str">
        <f t="shared" si="9"/>
        <v>6</v>
      </c>
      <c r="T16" s="1" t="str">
        <f t="shared" si="10"/>
        <v xml:space="preserve">      DATA (mDirSS(11,i),i=1,3) /n6,nd6,n6/ !s.s. 11</v>
      </c>
    </row>
    <row r="17" spans="1:20" s="2" customFormat="1" x14ac:dyDescent="0.25">
      <c r="A17" s="2">
        <v>1</v>
      </c>
      <c r="B17" s="2">
        <v>1</v>
      </c>
      <c r="C17" s="5">
        <v>0</v>
      </c>
      <c r="D17" s="2">
        <v>1</v>
      </c>
      <c r="E17" s="2">
        <v>-1</v>
      </c>
      <c r="F17" s="5">
        <v>1</v>
      </c>
      <c r="H17" s="2">
        <f t="shared" si="1"/>
        <v>-1</v>
      </c>
      <c r="I17" s="2">
        <f t="shared" si="2"/>
        <v>1</v>
      </c>
      <c r="J17" s="2">
        <f t="shared" si="0"/>
        <v>2</v>
      </c>
      <c r="L17" s="2">
        <f t="shared" si="3"/>
        <v>6</v>
      </c>
      <c r="M17" s="12">
        <v>12</v>
      </c>
      <c r="N17" s="9" t="str">
        <f t="shared" si="4"/>
        <v>n</v>
      </c>
      <c r="O17" s="9" t="str">
        <f t="shared" si="5"/>
        <v>6</v>
      </c>
      <c r="P17" s="9" t="str">
        <f t="shared" si="6"/>
        <v>p</v>
      </c>
      <c r="Q17" s="9" t="str">
        <f t="shared" si="7"/>
        <v>6</v>
      </c>
      <c r="R17" s="9" t="str">
        <f t="shared" si="8"/>
        <v>p</v>
      </c>
      <c r="S17" s="9" t="str">
        <f t="shared" si="9"/>
        <v>d6</v>
      </c>
      <c r="T17" s="1" t="str">
        <f t="shared" si="10"/>
        <v xml:space="preserve">      DATA (mDirSS(12,i),i=1,3) /n6,p6,pd6/ !s.s. 12</v>
      </c>
    </row>
    <row r="18" spans="1:20" x14ac:dyDescent="0.25">
      <c r="A18">
        <v>2</v>
      </c>
      <c r="B18">
        <v>-1</v>
      </c>
      <c r="C18" s="4">
        <v>-1</v>
      </c>
      <c r="D18">
        <v>1</v>
      </c>
      <c r="E18">
        <v>1</v>
      </c>
      <c r="F18" s="4">
        <v>1</v>
      </c>
      <c r="H18">
        <f>(E18*C18-F18*B18)/3</f>
        <v>0</v>
      </c>
      <c r="I18">
        <f>(F18*A18-D18*C18)/3</f>
        <v>1</v>
      </c>
      <c r="J18" s="1">
        <f>(D18*B18-E18*A18)/3</f>
        <v>-1</v>
      </c>
      <c r="L18" s="1">
        <f t="shared" si="3"/>
        <v>2</v>
      </c>
      <c r="M18" s="13">
        <v>13</v>
      </c>
      <c r="N18" s="10" t="str">
        <f t="shared" ref="N18" si="11">IF(H18&lt;0,"n",IF(H18=0,"0","p"))</f>
        <v>0</v>
      </c>
      <c r="O18" s="10" t="str">
        <f>IF(ABS(H18)=1,TEXT($L18,"0"),".")</f>
        <v>.</v>
      </c>
      <c r="P18" s="10" t="str">
        <f t="shared" ref="P18" si="12">IF(I18&lt;0,"n",IF(I18=0,"0","p"))</f>
        <v>p</v>
      </c>
      <c r="Q18" s="10" t="str">
        <f>IF(ABS(I18)=1,TEXT($L18,"0"),".")</f>
        <v>2</v>
      </c>
      <c r="R18" s="10" t="str">
        <f t="shared" ref="R18" si="13">IF(J18&lt;0,"n",IF(J18=0,"0","p"))</f>
        <v>n</v>
      </c>
      <c r="S18" s="10" t="str">
        <f>IF(ABS(J18)=1,TEXT($L18,"0"),".")</f>
        <v>2</v>
      </c>
      <c r="T18" s="1" t="str">
        <f t="shared" si="10"/>
        <v xml:space="preserve">      DATA (mDirSS(13,i),i=1,3) /0.,p2,n2/ !s.s. 13</v>
      </c>
    </row>
    <row r="19" spans="1:20" x14ac:dyDescent="0.25">
      <c r="A19">
        <v>-1</v>
      </c>
      <c r="B19">
        <v>2</v>
      </c>
      <c r="C19" s="4">
        <v>-1</v>
      </c>
      <c r="D19">
        <v>1</v>
      </c>
      <c r="E19">
        <v>1</v>
      </c>
      <c r="F19" s="4">
        <v>1</v>
      </c>
      <c r="H19">
        <f t="shared" ref="H19:H29" si="14">(E19*C19-F19*B19)/3</f>
        <v>-1</v>
      </c>
      <c r="I19">
        <f t="shared" ref="I19:I29" si="15">(F19*A19-D19*C19)/3</f>
        <v>0</v>
      </c>
      <c r="J19" s="1">
        <f t="shared" ref="J19:J29" si="16">(D19*B19-E19*A19)/3</f>
        <v>1</v>
      </c>
      <c r="L19" s="1">
        <f t="shared" si="3"/>
        <v>2</v>
      </c>
      <c r="M19" s="13">
        <v>14</v>
      </c>
      <c r="N19" s="10" t="str">
        <f t="shared" ref="N19:N53" si="17">IF(H19&lt;0,"n",IF(H19=0,"0","p"))</f>
        <v>n</v>
      </c>
      <c r="O19" s="10" t="str">
        <f t="shared" ref="O19:O30" si="18">IF(ABS(H19)=1,TEXT($L19,"0"),".")</f>
        <v>2</v>
      </c>
      <c r="P19" s="10" t="str">
        <f t="shared" ref="P19:P53" si="19">IF(I19&lt;0,"n",IF(I19=0,"0","p"))</f>
        <v>0</v>
      </c>
      <c r="Q19" s="10" t="str">
        <f t="shared" ref="Q19:Q29" si="20">IF(ABS(I19)=1,TEXT($L19,"0"),".")</f>
        <v>.</v>
      </c>
      <c r="R19" s="10" t="str">
        <f t="shared" ref="R19:R53" si="21">IF(J19&lt;0,"n",IF(J19=0,"0","p"))</f>
        <v>p</v>
      </c>
      <c r="S19" s="10" t="str">
        <f t="shared" ref="S19:S29" si="22">IF(ABS(J19)=1,TEXT($L19,"0"),".")</f>
        <v>2</v>
      </c>
      <c r="T19" s="1" t="str">
        <f t="shared" si="10"/>
        <v xml:space="preserve">      DATA (mDirSS(14,i),i=1,3) /n2,0.,p2/ !s.s. 14</v>
      </c>
    </row>
    <row r="20" spans="1:20" x14ac:dyDescent="0.25">
      <c r="A20">
        <v>-1</v>
      </c>
      <c r="B20">
        <v>-1</v>
      </c>
      <c r="C20" s="4">
        <v>2</v>
      </c>
      <c r="D20">
        <v>1</v>
      </c>
      <c r="E20">
        <v>1</v>
      </c>
      <c r="F20" s="4">
        <v>1</v>
      </c>
      <c r="H20">
        <f t="shared" si="14"/>
        <v>1</v>
      </c>
      <c r="I20">
        <f t="shared" si="15"/>
        <v>-1</v>
      </c>
      <c r="J20" s="1">
        <f t="shared" si="16"/>
        <v>0</v>
      </c>
      <c r="L20" s="1">
        <f t="shared" si="3"/>
        <v>2</v>
      </c>
      <c r="M20" s="13">
        <v>15</v>
      </c>
      <c r="N20" s="10" t="str">
        <f t="shared" si="17"/>
        <v>p</v>
      </c>
      <c r="O20" s="10" t="str">
        <f t="shared" si="18"/>
        <v>2</v>
      </c>
      <c r="P20" s="10" t="str">
        <f t="shared" si="19"/>
        <v>n</v>
      </c>
      <c r="Q20" s="10" t="str">
        <f t="shared" si="20"/>
        <v>2</v>
      </c>
      <c r="R20" s="10" t="str">
        <f t="shared" si="21"/>
        <v>0</v>
      </c>
      <c r="S20" s="10" t="str">
        <f t="shared" si="22"/>
        <v>.</v>
      </c>
      <c r="T20" s="1" t="str">
        <f t="shared" si="10"/>
        <v xml:space="preserve">      DATA (mDirSS(15,i),i=1,3) /p2,n2,0./ !s.s. 15</v>
      </c>
    </row>
    <row r="21" spans="1:20" x14ac:dyDescent="0.25">
      <c r="A21">
        <v>-2</v>
      </c>
      <c r="B21">
        <v>1</v>
      </c>
      <c r="C21" s="4">
        <v>-1</v>
      </c>
      <c r="D21">
        <v>-1</v>
      </c>
      <c r="E21">
        <v>-1</v>
      </c>
      <c r="F21" s="4">
        <v>1</v>
      </c>
      <c r="H21">
        <f t="shared" si="14"/>
        <v>0</v>
      </c>
      <c r="I21">
        <f t="shared" si="15"/>
        <v>-1</v>
      </c>
      <c r="J21" s="1">
        <f t="shared" si="16"/>
        <v>-1</v>
      </c>
      <c r="L21" s="1">
        <f t="shared" si="3"/>
        <v>2</v>
      </c>
      <c r="M21" s="13">
        <v>16</v>
      </c>
      <c r="N21" s="10" t="str">
        <f t="shared" si="17"/>
        <v>0</v>
      </c>
      <c r="O21" s="10" t="str">
        <f t="shared" si="18"/>
        <v>.</v>
      </c>
      <c r="P21" s="10" t="str">
        <f t="shared" si="19"/>
        <v>n</v>
      </c>
      <c r="Q21" s="10" t="str">
        <f t="shared" si="20"/>
        <v>2</v>
      </c>
      <c r="R21" s="10" t="str">
        <f t="shared" si="21"/>
        <v>n</v>
      </c>
      <c r="S21" s="10" t="str">
        <f t="shared" si="22"/>
        <v>2</v>
      </c>
      <c r="T21" s="1" t="str">
        <f t="shared" si="10"/>
        <v xml:space="preserve">      DATA (mDirSS(16,i),i=1,3) /0.,n2,n2/ !s.s. 16</v>
      </c>
    </row>
    <row r="22" spans="1:20" x14ac:dyDescent="0.25">
      <c r="A22">
        <v>1</v>
      </c>
      <c r="B22">
        <v>-2</v>
      </c>
      <c r="C22" s="4">
        <v>-1</v>
      </c>
      <c r="D22">
        <v>-1</v>
      </c>
      <c r="E22">
        <v>-1</v>
      </c>
      <c r="F22" s="4">
        <v>1</v>
      </c>
      <c r="H22">
        <f t="shared" si="14"/>
        <v>1</v>
      </c>
      <c r="I22">
        <f t="shared" si="15"/>
        <v>0</v>
      </c>
      <c r="J22" s="1">
        <f t="shared" si="16"/>
        <v>1</v>
      </c>
      <c r="L22" s="1">
        <f t="shared" si="3"/>
        <v>2</v>
      </c>
      <c r="M22" s="13">
        <v>17</v>
      </c>
      <c r="N22" s="10" t="str">
        <f t="shared" si="17"/>
        <v>p</v>
      </c>
      <c r="O22" s="10" t="str">
        <f t="shared" si="18"/>
        <v>2</v>
      </c>
      <c r="P22" s="10" t="str">
        <f t="shared" si="19"/>
        <v>0</v>
      </c>
      <c r="Q22" s="10" t="str">
        <f t="shared" si="20"/>
        <v>.</v>
      </c>
      <c r="R22" s="10" t="str">
        <f t="shared" si="21"/>
        <v>p</v>
      </c>
      <c r="S22" s="10" t="str">
        <f t="shared" si="22"/>
        <v>2</v>
      </c>
      <c r="T22" s="1" t="str">
        <f t="shared" si="10"/>
        <v xml:space="preserve">      DATA (mDirSS(17,i),i=1,3) /p2,0.,p2/ !s.s. 17</v>
      </c>
    </row>
    <row r="23" spans="1:20" x14ac:dyDescent="0.25">
      <c r="A23">
        <v>1</v>
      </c>
      <c r="B23">
        <v>1</v>
      </c>
      <c r="C23" s="4">
        <v>2</v>
      </c>
      <c r="D23">
        <v>-1</v>
      </c>
      <c r="E23">
        <v>-1</v>
      </c>
      <c r="F23" s="4">
        <v>1</v>
      </c>
      <c r="H23">
        <f t="shared" si="14"/>
        <v>-1</v>
      </c>
      <c r="I23">
        <f t="shared" si="15"/>
        <v>1</v>
      </c>
      <c r="J23" s="1">
        <f t="shared" si="16"/>
        <v>0</v>
      </c>
      <c r="L23" s="1">
        <f t="shared" si="3"/>
        <v>2</v>
      </c>
      <c r="M23" s="13">
        <v>18</v>
      </c>
      <c r="N23" s="10" t="str">
        <f t="shared" si="17"/>
        <v>n</v>
      </c>
      <c r="O23" s="10" t="str">
        <f t="shared" si="18"/>
        <v>2</v>
      </c>
      <c r="P23" s="10" t="str">
        <f t="shared" si="19"/>
        <v>p</v>
      </c>
      <c r="Q23" s="10" t="str">
        <f t="shared" si="20"/>
        <v>2</v>
      </c>
      <c r="R23" s="10" t="str">
        <f t="shared" si="21"/>
        <v>0</v>
      </c>
      <c r="S23" s="10" t="str">
        <f t="shared" si="22"/>
        <v>.</v>
      </c>
      <c r="T23" s="1" t="str">
        <f t="shared" si="10"/>
        <v xml:space="preserve">      DATA (mDirSS(18,i),i=1,3) /n2,p2,0./ !s.s. 18</v>
      </c>
    </row>
    <row r="24" spans="1:20" x14ac:dyDescent="0.25">
      <c r="A24">
        <v>-2</v>
      </c>
      <c r="B24">
        <v>-1</v>
      </c>
      <c r="C24" s="4">
        <v>-1</v>
      </c>
      <c r="D24">
        <v>-1</v>
      </c>
      <c r="E24">
        <v>1</v>
      </c>
      <c r="F24" s="4">
        <v>1</v>
      </c>
      <c r="H24">
        <f t="shared" si="14"/>
        <v>0</v>
      </c>
      <c r="I24">
        <f t="shared" si="15"/>
        <v>-1</v>
      </c>
      <c r="J24" s="1">
        <f t="shared" si="16"/>
        <v>1</v>
      </c>
      <c r="L24" s="1">
        <f t="shared" si="3"/>
        <v>2</v>
      </c>
      <c r="M24" s="13">
        <v>19</v>
      </c>
      <c r="N24" s="10" t="str">
        <f t="shared" si="17"/>
        <v>0</v>
      </c>
      <c r="O24" s="10" t="str">
        <f t="shared" si="18"/>
        <v>.</v>
      </c>
      <c r="P24" s="10" t="str">
        <f t="shared" si="19"/>
        <v>n</v>
      </c>
      <c r="Q24" s="10" t="str">
        <f t="shared" si="20"/>
        <v>2</v>
      </c>
      <c r="R24" s="10" t="str">
        <f t="shared" si="21"/>
        <v>p</v>
      </c>
      <c r="S24" s="10" t="str">
        <f t="shared" si="22"/>
        <v>2</v>
      </c>
      <c r="T24" s="1" t="str">
        <f t="shared" si="10"/>
        <v xml:space="preserve">      DATA (mDirSS(19,i),i=1,3) /0.,n2,p2/ !s.s. 19</v>
      </c>
    </row>
    <row r="25" spans="1:20" x14ac:dyDescent="0.25">
      <c r="A25">
        <v>1</v>
      </c>
      <c r="B25">
        <v>2</v>
      </c>
      <c r="C25" s="4">
        <v>-1</v>
      </c>
      <c r="D25">
        <v>-1</v>
      </c>
      <c r="E25">
        <v>1</v>
      </c>
      <c r="F25" s="4">
        <v>1</v>
      </c>
      <c r="H25">
        <f t="shared" si="14"/>
        <v>-1</v>
      </c>
      <c r="I25">
        <f t="shared" si="15"/>
        <v>0</v>
      </c>
      <c r="J25" s="1">
        <f t="shared" si="16"/>
        <v>-1</v>
      </c>
      <c r="L25" s="1">
        <f t="shared" si="3"/>
        <v>2</v>
      </c>
      <c r="M25" s="13">
        <v>20</v>
      </c>
      <c r="N25" s="10" t="str">
        <f t="shared" si="17"/>
        <v>n</v>
      </c>
      <c r="O25" s="10" t="str">
        <f t="shared" si="18"/>
        <v>2</v>
      </c>
      <c r="P25" s="10" t="str">
        <f t="shared" si="19"/>
        <v>0</v>
      </c>
      <c r="Q25" s="10" t="str">
        <f t="shared" si="20"/>
        <v>.</v>
      </c>
      <c r="R25" s="10" t="str">
        <f t="shared" si="21"/>
        <v>n</v>
      </c>
      <c r="S25" s="10" t="str">
        <f t="shared" si="22"/>
        <v>2</v>
      </c>
      <c r="T25" s="1" t="str">
        <f t="shared" si="10"/>
        <v xml:space="preserve">      DATA (mDirSS(20,i),i=1,3) /n2,0.,n2/ !s.s. 20</v>
      </c>
    </row>
    <row r="26" spans="1:20" x14ac:dyDescent="0.25">
      <c r="A26">
        <v>1</v>
      </c>
      <c r="B26">
        <v>-1</v>
      </c>
      <c r="C26" s="4">
        <v>2</v>
      </c>
      <c r="D26">
        <v>-1</v>
      </c>
      <c r="E26">
        <v>1</v>
      </c>
      <c r="F26" s="4">
        <v>1</v>
      </c>
      <c r="H26">
        <f t="shared" si="14"/>
        <v>1</v>
      </c>
      <c r="I26">
        <f t="shared" si="15"/>
        <v>1</v>
      </c>
      <c r="J26" s="1">
        <f t="shared" si="16"/>
        <v>0</v>
      </c>
      <c r="L26" s="1">
        <f t="shared" si="3"/>
        <v>2</v>
      </c>
      <c r="M26" s="13">
        <v>21</v>
      </c>
      <c r="N26" s="10" t="str">
        <f t="shared" si="17"/>
        <v>p</v>
      </c>
      <c r="O26" s="10" t="str">
        <f t="shared" si="18"/>
        <v>2</v>
      </c>
      <c r="P26" s="10" t="str">
        <f t="shared" si="19"/>
        <v>p</v>
      </c>
      <c r="Q26" s="10" t="str">
        <f t="shared" si="20"/>
        <v>2</v>
      </c>
      <c r="R26" s="10" t="str">
        <f t="shared" si="21"/>
        <v>0</v>
      </c>
      <c r="S26" s="10" t="str">
        <f t="shared" si="22"/>
        <v>.</v>
      </c>
      <c r="T26" s="1" t="str">
        <f t="shared" si="10"/>
        <v xml:space="preserve">      DATA (mDirSS(21,i),i=1,3) /p2,p2,0./ !s.s. 21</v>
      </c>
    </row>
    <row r="27" spans="1:20" x14ac:dyDescent="0.25">
      <c r="A27">
        <v>2</v>
      </c>
      <c r="B27">
        <v>1</v>
      </c>
      <c r="C27" s="4">
        <v>-1</v>
      </c>
      <c r="D27">
        <v>1</v>
      </c>
      <c r="E27">
        <v>-1</v>
      </c>
      <c r="F27" s="4">
        <v>1</v>
      </c>
      <c r="H27">
        <f t="shared" si="14"/>
        <v>0</v>
      </c>
      <c r="I27">
        <f t="shared" si="15"/>
        <v>1</v>
      </c>
      <c r="J27" s="1">
        <f t="shared" si="16"/>
        <v>1</v>
      </c>
      <c r="L27" s="1">
        <f t="shared" si="3"/>
        <v>2</v>
      </c>
      <c r="M27" s="13">
        <v>22</v>
      </c>
      <c r="N27" s="10" t="str">
        <f t="shared" si="17"/>
        <v>0</v>
      </c>
      <c r="O27" s="10" t="str">
        <f t="shared" si="18"/>
        <v>.</v>
      </c>
      <c r="P27" s="10" t="str">
        <f t="shared" si="19"/>
        <v>p</v>
      </c>
      <c r="Q27" s="10" t="str">
        <f t="shared" si="20"/>
        <v>2</v>
      </c>
      <c r="R27" s="10" t="str">
        <f t="shared" si="21"/>
        <v>p</v>
      </c>
      <c r="S27" s="10" t="str">
        <f t="shared" si="22"/>
        <v>2</v>
      </c>
      <c r="T27" s="1" t="str">
        <f t="shared" si="10"/>
        <v xml:space="preserve">      DATA (mDirSS(22,i),i=1,3) /0.,p2,p2/ !s.s. 22</v>
      </c>
    </row>
    <row r="28" spans="1:20" x14ac:dyDescent="0.25">
      <c r="A28">
        <v>-1</v>
      </c>
      <c r="B28">
        <v>-2</v>
      </c>
      <c r="C28" s="4">
        <v>-1</v>
      </c>
      <c r="D28">
        <v>1</v>
      </c>
      <c r="E28">
        <v>-1</v>
      </c>
      <c r="F28" s="4">
        <v>1</v>
      </c>
      <c r="H28">
        <f t="shared" si="14"/>
        <v>1</v>
      </c>
      <c r="I28">
        <f t="shared" si="15"/>
        <v>0</v>
      </c>
      <c r="J28" s="1">
        <f t="shared" si="16"/>
        <v>-1</v>
      </c>
      <c r="L28" s="1">
        <f t="shared" si="3"/>
        <v>2</v>
      </c>
      <c r="M28" s="13">
        <v>23</v>
      </c>
      <c r="N28" s="10" t="str">
        <f t="shared" si="17"/>
        <v>p</v>
      </c>
      <c r="O28" s="10" t="str">
        <f t="shared" si="18"/>
        <v>2</v>
      </c>
      <c r="P28" s="10" t="str">
        <f t="shared" si="19"/>
        <v>0</v>
      </c>
      <c r="Q28" s="10" t="str">
        <f t="shared" si="20"/>
        <v>.</v>
      </c>
      <c r="R28" s="10" t="str">
        <f t="shared" si="21"/>
        <v>n</v>
      </c>
      <c r="S28" s="10" t="str">
        <f t="shared" si="22"/>
        <v>2</v>
      </c>
      <c r="T28" s="1" t="str">
        <f t="shared" si="10"/>
        <v xml:space="preserve">      DATA (mDirSS(23,i),i=1,3) /p2,0.,n2/ !s.s. 23</v>
      </c>
    </row>
    <row r="29" spans="1:20" s="2" customFormat="1" x14ac:dyDescent="0.25">
      <c r="A29" s="2">
        <v>-1</v>
      </c>
      <c r="B29" s="2">
        <v>1</v>
      </c>
      <c r="C29" s="5">
        <v>2</v>
      </c>
      <c r="D29" s="2">
        <v>1</v>
      </c>
      <c r="E29" s="2">
        <v>-1</v>
      </c>
      <c r="F29" s="5">
        <v>1</v>
      </c>
      <c r="H29" s="2">
        <f t="shared" si="14"/>
        <v>-1</v>
      </c>
      <c r="I29" s="2">
        <f t="shared" si="15"/>
        <v>-1</v>
      </c>
      <c r="J29" s="2">
        <f t="shared" si="16"/>
        <v>0</v>
      </c>
      <c r="L29" s="2">
        <f t="shared" si="3"/>
        <v>2</v>
      </c>
      <c r="M29" s="12">
        <v>24</v>
      </c>
      <c r="N29" s="9" t="str">
        <f t="shared" si="17"/>
        <v>n</v>
      </c>
      <c r="O29" s="9" t="str">
        <f t="shared" si="18"/>
        <v>2</v>
      </c>
      <c r="P29" s="9" t="str">
        <f t="shared" si="19"/>
        <v>n</v>
      </c>
      <c r="Q29" s="9" t="str">
        <f t="shared" si="20"/>
        <v>2</v>
      </c>
      <c r="R29" s="9" t="str">
        <f t="shared" si="21"/>
        <v>0</v>
      </c>
      <c r="S29" s="9" t="str">
        <f t="shared" si="22"/>
        <v>.</v>
      </c>
      <c r="T29" s="1" t="str">
        <f t="shared" si="10"/>
        <v xml:space="preserve">      DATA (mDirSS(24,i),i=1,3) /n2,n2,0./ !s.s. 24</v>
      </c>
    </row>
    <row r="30" spans="1:20" x14ac:dyDescent="0.25">
      <c r="A30">
        <v>1</v>
      </c>
      <c r="B30">
        <v>2</v>
      </c>
      <c r="C30" s="4">
        <v>-3</v>
      </c>
      <c r="D30">
        <v>1</v>
      </c>
      <c r="E30">
        <v>1</v>
      </c>
      <c r="F30" s="4">
        <v>1</v>
      </c>
      <c r="H30">
        <f t="shared" si="1"/>
        <v>-5</v>
      </c>
      <c r="I30">
        <f t="shared" si="2"/>
        <v>4</v>
      </c>
      <c r="J30" s="1">
        <f t="shared" si="0"/>
        <v>1</v>
      </c>
      <c r="L30" s="1">
        <f t="shared" si="3"/>
        <v>42</v>
      </c>
      <c r="M30" s="13">
        <v>25</v>
      </c>
      <c r="N30" s="10" t="str">
        <f t="shared" si="17"/>
        <v>n</v>
      </c>
      <c r="O30" s="10" t="str">
        <f>IF(ABS(H30)=5,"5_42",IF(ABS(H30)=4,"4_42","1_42"))</f>
        <v>5_42</v>
      </c>
      <c r="P30" s="10" t="str">
        <f t="shared" si="19"/>
        <v>p</v>
      </c>
      <c r="Q30" s="10" t="str">
        <f>IF(ABS(I30)=5,"5_42",IF(ABS(I30)=4,"4_42","1_42"))</f>
        <v>4_42</v>
      </c>
      <c r="R30" s="10" t="str">
        <f t="shared" si="21"/>
        <v>p</v>
      </c>
      <c r="S30" s="10" t="str">
        <f>IF(ABS(J30)=5,"5_42",IF(ABS(J30)=4,"4_42","1_42"))</f>
        <v>1_42</v>
      </c>
      <c r="T30" s="1" t="str">
        <f>CONCATENATE("      !DATA (mDirSS(",TEXT(M30,"00"),",i),i=1,3) /",N30,O30,",",P30,Q30,",",R30,S30,"/ !s.s. ",TEXT(M30,"00"))</f>
        <v xml:space="preserve">      !DATA (mDirSS(25,i),i=1,3) /n5_42,p4_42,p1_42/ !s.s. 25</v>
      </c>
    </row>
    <row r="31" spans="1:20" x14ac:dyDescent="0.25">
      <c r="A31">
        <v>2</v>
      </c>
      <c r="B31">
        <v>1</v>
      </c>
      <c r="C31" s="4">
        <v>-3</v>
      </c>
      <c r="D31">
        <v>1</v>
      </c>
      <c r="E31">
        <v>1</v>
      </c>
      <c r="F31" s="4">
        <v>1</v>
      </c>
      <c r="H31">
        <f t="shared" si="1"/>
        <v>-4</v>
      </c>
      <c r="I31">
        <f t="shared" si="2"/>
        <v>5</v>
      </c>
      <c r="J31" s="1">
        <f t="shared" si="0"/>
        <v>-1</v>
      </c>
      <c r="L31" s="1">
        <f t="shared" si="3"/>
        <v>42</v>
      </c>
      <c r="M31" s="13">
        <v>26</v>
      </c>
      <c r="N31" s="10" t="str">
        <f t="shared" si="17"/>
        <v>n</v>
      </c>
      <c r="O31" s="10" t="str">
        <f t="shared" ref="O31:O53" si="23">IF(ABS(H31)=5,"5_42",IF(ABS(H31)=4,"4_42","1_42"))</f>
        <v>4_42</v>
      </c>
      <c r="P31" s="10" t="str">
        <f t="shared" si="19"/>
        <v>p</v>
      </c>
      <c r="Q31" s="10" t="str">
        <f t="shared" ref="Q31:Q53" si="24">IF(ABS(I31)=5,"5_42",IF(ABS(I31)=4,"4_42","1_42"))</f>
        <v>5_42</v>
      </c>
      <c r="R31" s="10" t="str">
        <f t="shared" si="21"/>
        <v>n</v>
      </c>
      <c r="S31" s="10" t="str">
        <f t="shared" ref="S31:S53" si="25">IF(ABS(J31)=5,"5_42",IF(ABS(J31)=4,"4_42","1_42"))</f>
        <v>1_42</v>
      </c>
      <c r="T31" s="1" t="str">
        <f t="shared" ref="T31:T53" si="26">CONCATENATE("      !DATA (mDirSS(",TEXT(M31,"00"),",i),i=1,3) /",N31,O31,",",P31,Q31,",",R31,S31,"/ !s.s. ",TEXT(M31,"00"))</f>
        <v xml:space="preserve">      !DATA (mDirSS(26,i),i=1,3) /n4_42,p5_42,n1_42/ !s.s. 26</v>
      </c>
    </row>
    <row r="32" spans="1:20" x14ac:dyDescent="0.25">
      <c r="A32">
        <v>1</v>
      </c>
      <c r="B32">
        <v>-3</v>
      </c>
      <c r="C32" s="4">
        <v>2</v>
      </c>
      <c r="D32">
        <v>1</v>
      </c>
      <c r="E32">
        <v>1</v>
      </c>
      <c r="F32" s="4">
        <v>1</v>
      </c>
      <c r="H32">
        <f t="shared" si="1"/>
        <v>5</v>
      </c>
      <c r="I32">
        <f t="shared" si="2"/>
        <v>-1</v>
      </c>
      <c r="J32" s="1">
        <f t="shared" si="0"/>
        <v>-4</v>
      </c>
      <c r="L32" s="1">
        <f t="shared" si="3"/>
        <v>42</v>
      </c>
      <c r="M32" s="13">
        <v>27</v>
      </c>
      <c r="N32" s="10" t="str">
        <f t="shared" si="17"/>
        <v>p</v>
      </c>
      <c r="O32" s="10" t="str">
        <f t="shared" si="23"/>
        <v>5_42</v>
      </c>
      <c r="P32" s="10" t="str">
        <f t="shared" si="19"/>
        <v>n</v>
      </c>
      <c r="Q32" s="10" t="str">
        <f t="shared" si="24"/>
        <v>1_42</v>
      </c>
      <c r="R32" s="10" t="str">
        <f t="shared" si="21"/>
        <v>n</v>
      </c>
      <c r="S32" s="10" t="str">
        <f t="shared" si="25"/>
        <v>4_42</v>
      </c>
      <c r="T32" s="1" t="str">
        <f t="shared" si="26"/>
        <v xml:space="preserve">      !DATA (mDirSS(27,i),i=1,3) /p5_42,n1_42,n4_42/ !s.s. 27</v>
      </c>
    </row>
    <row r="33" spans="1:20" x14ac:dyDescent="0.25">
      <c r="A33">
        <v>2</v>
      </c>
      <c r="B33">
        <v>-3</v>
      </c>
      <c r="C33" s="4">
        <v>1</v>
      </c>
      <c r="D33">
        <v>1</v>
      </c>
      <c r="E33">
        <v>1</v>
      </c>
      <c r="F33" s="4">
        <v>1</v>
      </c>
      <c r="H33">
        <f t="shared" si="1"/>
        <v>4</v>
      </c>
      <c r="I33">
        <f t="shared" si="2"/>
        <v>1</v>
      </c>
      <c r="J33" s="1">
        <f t="shared" si="0"/>
        <v>-5</v>
      </c>
      <c r="L33" s="1">
        <f t="shared" si="3"/>
        <v>42</v>
      </c>
      <c r="M33" s="13">
        <v>28</v>
      </c>
      <c r="N33" s="10" t="str">
        <f t="shared" si="17"/>
        <v>p</v>
      </c>
      <c r="O33" s="10" t="str">
        <f t="shared" si="23"/>
        <v>4_42</v>
      </c>
      <c r="P33" s="10" t="str">
        <f t="shared" si="19"/>
        <v>p</v>
      </c>
      <c r="Q33" s="10" t="str">
        <f t="shared" si="24"/>
        <v>1_42</v>
      </c>
      <c r="R33" s="10" t="str">
        <f t="shared" si="21"/>
        <v>n</v>
      </c>
      <c r="S33" s="10" t="str">
        <f t="shared" si="25"/>
        <v>5_42</v>
      </c>
      <c r="T33" s="1" t="str">
        <f t="shared" si="26"/>
        <v xml:space="preserve">      !DATA (mDirSS(28,i),i=1,3) /p4_42,p1_42,n5_42/ !s.s. 28</v>
      </c>
    </row>
    <row r="34" spans="1:20" x14ac:dyDescent="0.25">
      <c r="A34">
        <v>-3</v>
      </c>
      <c r="B34">
        <v>1</v>
      </c>
      <c r="C34" s="4">
        <v>2</v>
      </c>
      <c r="D34">
        <v>1</v>
      </c>
      <c r="E34">
        <v>1</v>
      </c>
      <c r="F34" s="4">
        <v>1</v>
      </c>
      <c r="H34">
        <f t="shared" si="1"/>
        <v>1</v>
      </c>
      <c r="I34">
        <f t="shared" si="2"/>
        <v>-5</v>
      </c>
      <c r="J34" s="1">
        <f t="shared" si="0"/>
        <v>4</v>
      </c>
      <c r="L34" s="1">
        <f t="shared" si="3"/>
        <v>42</v>
      </c>
      <c r="M34" s="13">
        <v>29</v>
      </c>
      <c r="N34" s="10" t="str">
        <f t="shared" si="17"/>
        <v>p</v>
      </c>
      <c r="O34" s="10" t="str">
        <f t="shared" si="23"/>
        <v>1_42</v>
      </c>
      <c r="P34" s="10" t="str">
        <f t="shared" si="19"/>
        <v>n</v>
      </c>
      <c r="Q34" s="10" t="str">
        <f t="shared" si="24"/>
        <v>5_42</v>
      </c>
      <c r="R34" s="10" t="str">
        <f t="shared" si="21"/>
        <v>p</v>
      </c>
      <c r="S34" s="10" t="str">
        <f t="shared" si="25"/>
        <v>4_42</v>
      </c>
      <c r="T34" s="1" t="str">
        <f t="shared" si="26"/>
        <v xml:space="preserve">      !DATA (mDirSS(29,i),i=1,3) /p1_42,n5_42,p4_42/ !s.s. 29</v>
      </c>
    </row>
    <row r="35" spans="1:20" x14ac:dyDescent="0.25">
      <c r="A35">
        <v>-3</v>
      </c>
      <c r="B35">
        <v>2</v>
      </c>
      <c r="C35" s="4">
        <v>1</v>
      </c>
      <c r="D35">
        <v>1</v>
      </c>
      <c r="E35">
        <v>1</v>
      </c>
      <c r="F35" s="4">
        <v>1</v>
      </c>
      <c r="H35">
        <f t="shared" si="1"/>
        <v>-1</v>
      </c>
      <c r="I35">
        <f t="shared" si="2"/>
        <v>-4</v>
      </c>
      <c r="J35" s="1">
        <f t="shared" si="0"/>
        <v>5</v>
      </c>
      <c r="L35" s="1">
        <f t="shared" si="3"/>
        <v>42</v>
      </c>
      <c r="M35" s="13">
        <v>30</v>
      </c>
      <c r="N35" s="10" t="str">
        <f t="shared" si="17"/>
        <v>n</v>
      </c>
      <c r="O35" s="10" t="str">
        <f t="shared" si="23"/>
        <v>1_42</v>
      </c>
      <c r="P35" s="10" t="str">
        <f t="shared" si="19"/>
        <v>n</v>
      </c>
      <c r="Q35" s="10" t="str">
        <f t="shared" si="24"/>
        <v>4_42</v>
      </c>
      <c r="R35" s="10" t="str">
        <f t="shared" si="21"/>
        <v>p</v>
      </c>
      <c r="S35" s="10" t="str">
        <f t="shared" si="25"/>
        <v>5_42</v>
      </c>
      <c r="T35" s="1" t="str">
        <f t="shared" si="26"/>
        <v xml:space="preserve">      !DATA (mDirSS(30,i),i=1,3) /n1_42,n4_42,p5_42/ !s.s. 30</v>
      </c>
    </row>
    <row r="36" spans="1:20" x14ac:dyDescent="0.25">
      <c r="A36">
        <v>1</v>
      </c>
      <c r="B36">
        <v>2</v>
      </c>
      <c r="C36" s="4">
        <v>3</v>
      </c>
      <c r="D36">
        <v>1</v>
      </c>
      <c r="E36">
        <v>1</v>
      </c>
      <c r="F36" s="4">
        <v>-1</v>
      </c>
      <c r="H36">
        <f t="shared" si="1"/>
        <v>5</v>
      </c>
      <c r="I36">
        <f t="shared" si="2"/>
        <v>-4</v>
      </c>
      <c r="J36" s="1">
        <f t="shared" si="0"/>
        <v>1</v>
      </c>
      <c r="L36" s="1">
        <f t="shared" si="3"/>
        <v>42</v>
      </c>
      <c r="M36" s="13">
        <v>31</v>
      </c>
      <c r="N36" s="10" t="str">
        <f t="shared" si="17"/>
        <v>p</v>
      </c>
      <c r="O36" s="10" t="str">
        <f t="shared" si="23"/>
        <v>5_42</v>
      </c>
      <c r="P36" s="10" t="str">
        <f t="shared" si="19"/>
        <v>n</v>
      </c>
      <c r="Q36" s="10" t="str">
        <f t="shared" si="24"/>
        <v>4_42</v>
      </c>
      <c r="R36" s="10" t="str">
        <f t="shared" si="21"/>
        <v>p</v>
      </c>
      <c r="S36" s="10" t="str">
        <f t="shared" si="25"/>
        <v>1_42</v>
      </c>
      <c r="T36" s="1" t="str">
        <f t="shared" si="26"/>
        <v xml:space="preserve">      !DATA (mDirSS(31,i),i=1,3) /p5_42,n4_42,p1_42/ !s.s. 31</v>
      </c>
    </row>
    <row r="37" spans="1:20" x14ac:dyDescent="0.25">
      <c r="A37">
        <v>2</v>
      </c>
      <c r="B37">
        <v>1</v>
      </c>
      <c r="C37" s="4">
        <v>3</v>
      </c>
      <c r="D37">
        <v>1</v>
      </c>
      <c r="E37">
        <v>1</v>
      </c>
      <c r="F37" s="4">
        <v>-1</v>
      </c>
      <c r="H37">
        <f t="shared" si="1"/>
        <v>4</v>
      </c>
      <c r="I37">
        <f t="shared" si="2"/>
        <v>-5</v>
      </c>
      <c r="J37" s="1">
        <f t="shared" si="0"/>
        <v>-1</v>
      </c>
      <c r="L37" s="1">
        <f t="shared" si="3"/>
        <v>42</v>
      </c>
      <c r="M37" s="13">
        <v>32</v>
      </c>
      <c r="N37" s="10" t="str">
        <f t="shared" si="17"/>
        <v>p</v>
      </c>
      <c r="O37" s="10" t="str">
        <f t="shared" si="23"/>
        <v>4_42</v>
      </c>
      <c r="P37" s="10" t="str">
        <f t="shared" si="19"/>
        <v>n</v>
      </c>
      <c r="Q37" s="10" t="str">
        <f t="shared" si="24"/>
        <v>5_42</v>
      </c>
      <c r="R37" s="10" t="str">
        <f t="shared" si="21"/>
        <v>n</v>
      </c>
      <c r="S37" s="10" t="str">
        <f t="shared" si="25"/>
        <v>1_42</v>
      </c>
      <c r="T37" s="1" t="str">
        <f t="shared" si="26"/>
        <v xml:space="preserve">      !DATA (mDirSS(32,i),i=1,3) /p4_42,n5_42,n1_42/ !s.s. 32</v>
      </c>
    </row>
    <row r="38" spans="1:20" x14ac:dyDescent="0.25">
      <c r="A38">
        <v>-1</v>
      </c>
      <c r="B38">
        <v>3</v>
      </c>
      <c r="C38" s="4">
        <v>2</v>
      </c>
      <c r="D38">
        <v>1</v>
      </c>
      <c r="E38">
        <v>1</v>
      </c>
      <c r="F38" s="4">
        <v>-1</v>
      </c>
      <c r="H38">
        <f t="shared" si="1"/>
        <v>5</v>
      </c>
      <c r="I38">
        <f t="shared" si="2"/>
        <v>-1</v>
      </c>
      <c r="J38" s="1">
        <f t="shared" si="0"/>
        <v>4</v>
      </c>
      <c r="L38" s="1">
        <f t="shared" si="3"/>
        <v>42</v>
      </c>
      <c r="M38" s="13">
        <v>33</v>
      </c>
      <c r="N38" s="10" t="str">
        <f t="shared" si="17"/>
        <v>p</v>
      </c>
      <c r="O38" s="10" t="str">
        <f t="shared" si="23"/>
        <v>5_42</v>
      </c>
      <c r="P38" s="10" t="str">
        <f t="shared" si="19"/>
        <v>n</v>
      </c>
      <c r="Q38" s="10" t="str">
        <f t="shared" si="24"/>
        <v>1_42</v>
      </c>
      <c r="R38" s="10" t="str">
        <f t="shared" si="21"/>
        <v>p</v>
      </c>
      <c r="S38" s="10" t="str">
        <f t="shared" si="25"/>
        <v>4_42</v>
      </c>
      <c r="T38" s="1" t="str">
        <f t="shared" si="26"/>
        <v xml:space="preserve">      !DATA (mDirSS(33,i),i=1,3) /p5_42,n1_42,p4_42/ !s.s. 33</v>
      </c>
    </row>
    <row r="39" spans="1:20" x14ac:dyDescent="0.25">
      <c r="A39">
        <v>-2</v>
      </c>
      <c r="B39">
        <v>3</v>
      </c>
      <c r="C39" s="4">
        <v>1</v>
      </c>
      <c r="D39">
        <v>1</v>
      </c>
      <c r="E39">
        <v>1</v>
      </c>
      <c r="F39" s="4">
        <v>-1</v>
      </c>
      <c r="H39">
        <f t="shared" si="1"/>
        <v>4</v>
      </c>
      <c r="I39">
        <f t="shared" si="2"/>
        <v>1</v>
      </c>
      <c r="J39" s="1">
        <f t="shared" si="0"/>
        <v>5</v>
      </c>
      <c r="L39" s="1">
        <f t="shared" si="3"/>
        <v>42</v>
      </c>
      <c r="M39" s="13">
        <v>34</v>
      </c>
      <c r="N39" s="10" t="str">
        <f t="shared" si="17"/>
        <v>p</v>
      </c>
      <c r="O39" s="10" t="str">
        <f t="shared" si="23"/>
        <v>4_42</v>
      </c>
      <c r="P39" s="10" t="str">
        <f t="shared" si="19"/>
        <v>p</v>
      </c>
      <c r="Q39" s="10" t="str">
        <f t="shared" si="24"/>
        <v>1_42</v>
      </c>
      <c r="R39" s="10" t="str">
        <f t="shared" si="21"/>
        <v>p</v>
      </c>
      <c r="S39" s="10" t="str">
        <f t="shared" si="25"/>
        <v>5_42</v>
      </c>
      <c r="T39" s="1" t="str">
        <f t="shared" si="26"/>
        <v xml:space="preserve">      !DATA (mDirSS(34,i),i=1,3) /p4_42,p1_42,p5_42/ !s.s. 34</v>
      </c>
    </row>
    <row r="40" spans="1:20" x14ac:dyDescent="0.25">
      <c r="A40">
        <v>3</v>
      </c>
      <c r="B40">
        <v>-1</v>
      </c>
      <c r="C40" s="4">
        <v>2</v>
      </c>
      <c r="D40">
        <v>1</v>
      </c>
      <c r="E40">
        <v>1</v>
      </c>
      <c r="F40" s="4">
        <v>-1</v>
      </c>
      <c r="H40">
        <f t="shared" si="1"/>
        <v>1</v>
      </c>
      <c r="I40">
        <f t="shared" si="2"/>
        <v>-5</v>
      </c>
      <c r="J40" s="1">
        <f t="shared" si="0"/>
        <v>-4</v>
      </c>
      <c r="L40" s="1">
        <f t="shared" si="3"/>
        <v>42</v>
      </c>
      <c r="M40" s="13">
        <v>35</v>
      </c>
      <c r="N40" s="10" t="str">
        <f t="shared" si="17"/>
        <v>p</v>
      </c>
      <c r="O40" s="10" t="str">
        <f t="shared" si="23"/>
        <v>1_42</v>
      </c>
      <c r="P40" s="10" t="str">
        <f t="shared" si="19"/>
        <v>n</v>
      </c>
      <c r="Q40" s="10" t="str">
        <f t="shared" si="24"/>
        <v>5_42</v>
      </c>
      <c r="R40" s="10" t="str">
        <f t="shared" si="21"/>
        <v>n</v>
      </c>
      <c r="S40" s="10" t="str">
        <f t="shared" si="25"/>
        <v>4_42</v>
      </c>
      <c r="T40" s="1" t="str">
        <f t="shared" si="26"/>
        <v xml:space="preserve">      !DATA (mDirSS(35,i),i=1,3) /p1_42,n5_42,n4_42/ !s.s. 35</v>
      </c>
    </row>
    <row r="41" spans="1:20" x14ac:dyDescent="0.25">
      <c r="A41">
        <v>3</v>
      </c>
      <c r="B41">
        <v>-2</v>
      </c>
      <c r="C41" s="4">
        <v>1</v>
      </c>
      <c r="D41">
        <v>1</v>
      </c>
      <c r="E41">
        <v>1</v>
      </c>
      <c r="F41" s="4">
        <v>-1</v>
      </c>
      <c r="H41">
        <f t="shared" si="1"/>
        <v>-1</v>
      </c>
      <c r="I41">
        <f t="shared" si="2"/>
        <v>-4</v>
      </c>
      <c r="J41" s="1">
        <f t="shared" si="0"/>
        <v>-5</v>
      </c>
      <c r="L41" s="1">
        <f t="shared" si="3"/>
        <v>42</v>
      </c>
      <c r="M41" s="13">
        <v>36</v>
      </c>
      <c r="N41" s="10" t="str">
        <f t="shared" si="17"/>
        <v>n</v>
      </c>
      <c r="O41" s="10" t="str">
        <f t="shared" si="23"/>
        <v>1_42</v>
      </c>
      <c r="P41" s="10" t="str">
        <f t="shared" si="19"/>
        <v>n</v>
      </c>
      <c r="Q41" s="10" t="str">
        <f t="shared" si="24"/>
        <v>4_42</v>
      </c>
      <c r="R41" s="10" t="str">
        <f t="shared" si="21"/>
        <v>n</v>
      </c>
      <c r="S41" s="10" t="str">
        <f t="shared" si="25"/>
        <v>5_42</v>
      </c>
      <c r="T41" s="1" t="str">
        <f t="shared" si="26"/>
        <v xml:space="preserve">      !DATA (mDirSS(36,i),i=1,3) /n1_42,n4_42,n5_42/ !s.s. 36</v>
      </c>
    </row>
    <row r="42" spans="1:20" x14ac:dyDescent="0.25">
      <c r="A42">
        <v>-1</v>
      </c>
      <c r="B42">
        <v>2</v>
      </c>
      <c r="C42" s="4">
        <v>3</v>
      </c>
      <c r="D42">
        <v>1</v>
      </c>
      <c r="E42">
        <v>-1</v>
      </c>
      <c r="F42" s="4">
        <v>1</v>
      </c>
      <c r="H42">
        <f t="shared" si="1"/>
        <v>-5</v>
      </c>
      <c r="I42">
        <f t="shared" si="2"/>
        <v>-4</v>
      </c>
      <c r="J42" s="1">
        <f t="shared" si="0"/>
        <v>1</v>
      </c>
      <c r="L42" s="1">
        <f t="shared" si="3"/>
        <v>42</v>
      </c>
      <c r="M42" s="13">
        <v>37</v>
      </c>
      <c r="N42" s="10" t="str">
        <f t="shared" si="17"/>
        <v>n</v>
      </c>
      <c r="O42" s="10" t="str">
        <f t="shared" si="23"/>
        <v>5_42</v>
      </c>
      <c r="P42" s="10" t="str">
        <f t="shared" si="19"/>
        <v>n</v>
      </c>
      <c r="Q42" s="10" t="str">
        <f t="shared" si="24"/>
        <v>4_42</v>
      </c>
      <c r="R42" s="10" t="str">
        <f t="shared" si="21"/>
        <v>p</v>
      </c>
      <c r="S42" s="10" t="str">
        <f t="shared" si="25"/>
        <v>1_42</v>
      </c>
      <c r="T42" s="1" t="str">
        <f t="shared" si="26"/>
        <v xml:space="preserve">      !DATA (mDirSS(37,i),i=1,3) /n5_42,n4_42,p1_42/ !s.s. 37</v>
      </c>
    </row>
    <row r="43" spans="1:20" x14ac:dyDescent="0.25">
      <c r="A43">
        <v>-2</v>
      </c>
      <c r="B43">
        <v>1</v>
      </c>
      <c r="C43" s="4">
        <v>3</v>
      </c>
      <c r="D43">
        <v>1</v>
      </c>
      <c r="E43">
        <v>-1</v>
      </c>
      <c r="F43" s="4">
        <v>1</v>
      </c>
      <c r="H43">
        <f t="shared" si="1"/>
        <v>-4</v>
      </c>
      <c r="I43">
        <f t="shared" si="2"/>
        <v>-5</v>
      </c>
      <c r="J43" s="1">
        <f t="shared" si="0"/>
        <v>-1</v>
      </c>
      <c r="L43" s="1">
        <f t="shared" si="3"/>
        <v>42</v>
      </c>
      <c r="M43" s="13">
        <v>38</v>
      </c>
      <c r="N43" s="10" t="str">
        <f t="shared" si="17"/>
        <v>n</v>
      </c>
      <c r="O43" s="10" t="str">
        <f t="shared" si="23"/>
        <v>4_42</v>
      </c>
      <c r="P43" s="10" t="str">
        <f t="shared" si="19"/>
        <v>n</v>
      </c>
      <c r="Q43" s="10" t="str">
        <f t="shared" si="24"/>
        <v>5_42</v>
      </c>
      <c r="R43" s="10" t="str">
        <f t="shared" si="21"/>
        <v>n</v>
      </c>
      <c r="S43" s="10" t="str">
        <f t="shared" si="25"/>
        <v>1_42</v>
      </c>
      <c r="T43" s="1" t="str">
        <f t="shared" si="26"/>
        <v xml:space="preserve">      !DATA (mDirSS(38,i),i=1,3) /n4_42,n5_42,n1_42/ !s.s. 38</v>
      </c>
    </row>
    <row r="44" spans="1:20" x14ac:dyDescent="0.25">
      <c r="A44">
        <v>1</v>
      </c>
      <c r="B44">
        <v>3</v>
      </c>
      <c r="C44" s="4">
        <v>2</v>
      </c>
      <c r="D44">
        <v>1</v>
      </c>
      <c r="E44">
        <v>-1</v>
      </c>
      <c r="F44" s="4">
        <v>1</v>
      </c>
      <c r="H44">
        <f t="shared" si="1"/>
        <v>-5</v>
      </c>
      <c r="I44">
        <f t="shared" si="2"/>
        <v>-1</v>
      </c>
      <c r="J44" s="1">
        <f t="shared" si="0"/>
        <v>4</v>
      </c>
      <c r="L44" s="1">
        <f t="shared" si="3"/>
        <v>42</v>
      </c>
      <c r="M44" s="13">
        <v>39</v>
      </c>
      <c r="N44" s="10" t="str">
        <f t="shared" si="17"/>
        <v>n</v>
      </c>
      <c r="O44" s="10" t="str">
        <f t="shared" si="23"/>
        <v>5_42</v>
      </c>
      <c r="P44" s="10" t="str">
        <f t="shared" si="19"/>
        <v>n</v>
      </c>
      <c r="Q44" s="10" t="str">
        <f t="shared" si="24"/>
        <v>1_42</v>
      </c>
      <c r="R44" s="10" t="str">
        <f t="shared" si="21"/>
        <v>p</v>
      </c>
      <c r="S44" s="10" t="str">
        <f t="shared" si="25"/>
        <v>4_42</v>
      </c>
      <c r="T44" s="1" t="str">
        <f t="shared" si="26"/>
        <v xml:space="preserve">      !DATA (mDirSS(39,i),i=1,3) /n5_42,n1_42,p4_42/ !s.s. 39</v>
      </c>
    </row>
    <row r="45" spans="1:20" x14ac:dyDescent="0.25">
      <c r="A45">
        <v>2</v>
      </c>
      <c r="B45">
        <v>3</v>
      </c>
      <c r="C45" s="4">
        <v>1</v>
      </c>
      <c r="D45">
        <v>1</v>
      </c>
      <c r="E45">
        <v>-1</v>
      </c>
      <c r="F45" s="4">
        <v>1</v>
      </c>
      <c r="H45">
        <f t="shared" si="1"/>
        <v>-4</v>
      </c>
      <c r="I45">
        <f t="shared" si="2"/>
        <v>1</v>
      </c>
      <c r="J45" s="1">
        <f t="shared" si="0"/>
        <v>5</v>
      </c>
      <c r="L45" s="1">
        <f t="shared" si="3"/>
        <v>42</v>
      </c>
      <c r="M45" s="13">
        <v>40</v>
      </c>
      <c r="N45" s="10" t="str">
        <f t="shared" si="17"/>
        <v>n</v>
      </c>
      <c r="O45" s="10" t="str">
        <f t="shared" si="23"/>
        <v>4_42</v>
      </c>
      <c r="P45" s="10" t="str">
        <f t="shared" si="19"/>
        <v>p</v>
      </c>
      <c r="Q45" s="10" t="str">
        <f t="shared" si="24"/>
        <v>1_42</v>
      </c>
      <c r="R45" s="10" t="str">
        <f t="shared" si="21"/>
        <v>p</v>
      </c>
      <c r="S45" s="10" t="str">
        <f t="shared" si="25"/>
        <v>5_42</v>
      </c>
      <c r="T45" s="1" t="str">
        <f t="shared" si="26"/>
        <v xml:space="preserve">      !DATA (mDirSS(40,i),i=1,3) /n4_42,p1_42,p5_42/ !s.s. 40</v>
      </c>
    </row>
    <row r="46" spans="1:20" x14ac:dyDescent="0.25">
      <c r="A46">
        <v>3</v>
      </c>
      <c r="B46">
        <v>1</v>
      </c>
      <c r="C46" s="4">
        <v>-2</v>
      </c>
      <c r="D46">
        <v>1</v>
      </c>
      <c r="E46">
        <v>-1</v>
      </c>
      <c r="F46" s="4">
        <v>1</v>
      </c>
      <c r="H46">
        <f t="shared" si="1"/>
        <v>1</v>
      </c>
      <c r="I46">
        <f t="shared" si="2"/>
        <v>5</v>
      </c>
      <c r="J46" s="1">
        <f t="shared" si="0"/>
        <v>4</v>
      </c>
      <c r="L46" s="1">
        <f t="shared" si="3"/>
        <v>42</v>
      </c>
      <c r="M46" s="13">
        <v>41</v>
      </c>
      <c r="N46" s="10" t="str">
        <f t="shared" si="17"/>
        <v>p</v>
      </c>
      <c r="O46" s="10" t="str">
        <f t="shared" si="23"/>
        <v>1_42</v>
      </c>
      <c r="P46" s="10" t="str">
        <f t="shared" si="19"/>
        <v>p</v>
      </c>
      <c r="Q46" s="10" t="str">
        <f t="shared" si="24"/>
        <v>5_42</v>
      </c>
      <c r="R46" s="10" t="str">
        <f t="shared" si="21"/>
        <v>p</v>
      </c>
      <c r="S46" s="10" t="str">
        <f t="shared" si="25"/>
        <v>4_42</v>
      </c>
      <c r="T46" s="1" t="str">
        <f t="shared" si="26"/>
        <v xml:space="preserve">      !DATA (mDirSS(41,i),i=1,3) /p1_42,p5_42,p4_42/ !s.s. 41</v>
      </c>
    </row>
    <row r="47" spans="1:20" x14ac:dyDescent="0.25">
      <c r="A47">
        <v>3</v>
      </c>
      <c r="B47">
        <v>2</v>
      </c>
      <c r="C47" s="4">
        <v>-1</v>
      </c>
      <c r="D47">
        <v>1</v>
      </c>
      <c r="E47">
        <v>-1</v>
      </c>
      <c r="F47" s="4">
        <v>1</v>
      </c>
      <c r="H47">
        <f t="shared" si="1"/>
        <v>-1</v>
      </c>
      <c r="I47">
        <f t="shared" si="2"/>
        <v>4</v>
      </c>
      <c r="J47" s="1">
        <f t="shared" si="0"/>
        <v>5</v>
      </c>
      <c r="L47" s="1">
        <f t="shared" si="3"/>
        <v>42</v>
      </c>
      <c r="M47" s="13">
        <v>42</v>
      </c>
      <c r="N47" s="10" t="str">
        <f t="shared" si="17"/>
        <v>n</v>
      </c>
      <c r="O47" s="10" t="str">
        <f t="shared" si="23"/>
        <v>1_42</v>
      </c>
      <c r="P47" s="10" t="str">
        <f t="shared" si="19"/>
        <v>p</v>
      </c>
      <c r="Q47" s="10" t="str">
        <f t="shared" si="24"/>
        <v>4_42</v>
      </c>
      <c r="R47" s="10" t="str">
        <f t="shared" si="21"/>
        <v>p</v>
      </c>
      <c r="S47" s="10" t="str">
        <f t="shared" si="25"/>
        <v>5_42</v>
      </c>
      <c r="T47" s="1" t="str">
        <f t="shared" si="26"/>
        <v xml:space="preserve">      !DATA (mDirSS(42,i),i=1,3) /n1_42,p4_42,p5_42/ !s.s. 42</v>
      </c>
    </row>
    <row r="48" spans="1:20" x14ac:dyDescent="0.25">
      <c r="A48">
        <v>1</v>
      </c>
      <c r="B48">
        <v>-2</v>
      </c>
      <c r="C48" s="4">
        <v>3</v>
      </c>
      <c r="D48">
        <v>-1</v>
      </c>
      <c r="E48">
        <v>1</v>
      </c>
      <c r="F48" s="4">
        <v>1</v>
      </c>
      <c r="H48">
        <f t="shared" si="1"/>
        <v>5</v>
      </c>
      <c r="I48">
        <f t="shared" si="2"/>
        <v>4</v>
      </c>
      <c r="J48" s="1">
        <f t="shared" si="0"/>
        <v>1</v>
      </c>
      <c r="L48" s="1">
        <f t="shared" si="3"/>
        <v>42</v>
      </c>
      <c r="M48" s="13">
        <v>43</v>
      </c>
      <c r="N48" s="10" t="str">
        <f t="shared" si="17"/>
        <v>p</v>
      </c>
      <c r="O48" s="10" t="str">
        <f t="shared" si="23"/>
        <v>5_42</v>
      </c>
      <c r="P48" s="10" t="str">
        <f t="shared" si="19"/>
        <v>p</v>
      </c>
      <c r="Q48" s="10" t="str">
        <f t="shared" si="24"/>
        <v>4_42</v>
      </c>
      <c r="R48" s="10" t="str">
        <f t="shared" si="21"/>
        <v>p</v>
      </c>
      <c r="S48" s="10" t="str">
        <f t="shared" si="25"/>
        <v>1_42</v>
      </c>
      <c r="T48" s="1" t="str">
        <f t="shared" si="26"/>
        <v xml:space="preserve">      !DATA (mDirSS(43,i),i=1,3) /p5_42,p4_42,p1_42/ !s.s. 43</v>
      </c>
    </row>
    <row r="49" spans="1:20" x14ac:dyDescent="0.25">
      <c r="A49">
        <v>2</v>
      </c>
      <c r="B49">
        <v>-1</v>
      </c>
      <c r="C49" s="4">
        <v>3</v>
      </c>
      <c r="D49">
        <v>-1</v>
      </c>
      <c r="E49">
        <v>1</v>
      </c>
      <c r="F49" s="4">
        <v>1</v>
      </c>
      <c r="H49">
        <f t="shared" si="1"/>
        <v>4</v>
      </c>
      <c r="I49">
        <f t="shared" si="2"/>
        <v>5</v>
      </c>
      <c r="J49" s="1">
        <f t="shared" si="0"/>
        <v>-1</v>
      </c>
      <c r="L49" s="1">
        <f t="shared" si="3"/>
        <v>42</v>
      </c>
      <c r="M49" s="13">
        <v>44</v>
      </c>
      <c r="N49" s="10" t="str">
        <f t="shared" si="17"/>
        <v>p</v>
      </c>
      <c r="O49" s="10" t="str">
        <f t="shared" si="23"/>
        <v>4_42</v>
      </c>
      <c r="P49" s="10" t="str">
        <f t="shared" si="19"/>
        <v>p</v>
      </c>
      <c r="Q49" s="10" t="str">
        <f t="shared" si="24"/>
        <v>5_42</v>
      </c>
      <c r="R49" s="10" t="str">
        <f t="shared" si="21"/>
        <v>n</v>
      </c>
      <c r="S49" s="10" t="str">
        <f t="shared" si="25"/>
        <v>1_42</v>
      </c>
      <c r="T49" s="1" t="str">
        <f t="shared" si="26"/>
        <v xml:space="preserve">      !DATA (mDirSS(44,i),i=1,3) /p4_42,p5_42,n1_42/ !s.s. 44</v>
      </c>
    </row>
    <row r="50" spans="1:20" x14ac:dyDescent="0.25">
      <c r="A50">
        <v>1</v>
      </c>
      <c r="B50">
        <v>3</v>
      </c>
      <c r="C50" s="4">
        <v>-2</v>
      </c>
      <c r="D50">
        <v>-1</v>
      </c>
      <c r="E50">
        <v>1</v>
      </c>
      <c r="F50" s="4">
        <v>1</v>
      </c>
      <c r="H50">
        <f t="shared" si="1"/>
        <v>-5</v>
      </c>
      <c r="I50">
        <f t="shared" si="2"/>
        <v>-1</v>
      </c>
      <c r="J50" s="1">
        <f t="shared" si="0"/>
        <v>-4</v>
      </c>
      <c r="L50" s="1">
        <f t="shared" si="3"/>
        <v>42</v>
      </c>
      <c r="M50" s="13">
        <v>45</v>
      </c>
      <c r="N50" s="10" t="str">
        <f t="shared" si="17"/>
        <v>n</v>
      </c>
      <c r="O50" s="10" t="str">
        <f t="shared" si="23"/>
        <v>5_42</v>
      </c>
      <c r="P50" s="10" t="str">
        <f t="shared" si="19"/>
        <v>n</v>
      </c>
      <c r="Q50" s="10" t="str">
        <f t="shared" si="24"/>
        <v>1_42</v>
      </c>
      <c r="R50" s="10" t="str">
        <f t="shared" si="21"/>
        <v>n</v>
      </c>
      <c r="S50" s="10" t="str">
        <f t="shared" si="25"/>
        <v>4_42</v>
      </c>
      <c r="T50" s="1" t="str">
        <f t="shared" si="26"/>
        <v xml:space="preserve">      !DATA (mDirSS(45,i),i=1,3) /n5_42,n1_42,n4_42/ !s.s. 45</v>
      </c>
    </row>
    <row r="51" spans="1:20" x14ac:dyDescent="0.25">
      <c r="A51">
        <v>2</v>
      </c>
      <c r="B51">
        <v>3</v>
      </c>
      <c r="C51" s="4">
        <v>-1</v>
      </c>
      <c r="D51">
        <v>-1</v>
      </c>
      <c r="E51">
        <v>1</v>
      </c>
      <c r="F51" s="4">
        <v>1</v>
      </c>
      <c r="H51">
        <f t="shared" si="1"/>
        <v>-4</v>
      </c>
      <c r="I51">
        <f t="shared" si="2"/>
        <v>1</v>
      </c>
      <c r="J51" s="1">
        <f t="shared" si="0"/>
        <v>-5</v>
      </c>
      <c r="L51" s="1">
        <f t="shared" si="3"/>
        <v>42</v>
      </c>
      <c r="M51" s="13">
        <v>46</v>
      </c>
      <c r="N51" s="10" t="str">
        <f t="shared" si="17"/>
        <v>n</v>
      </c>
      <c r="O51" s="10" t="str">
        <f t="shared" si="23"/>
        <v>4_42</v>
      </c>
      <c r="P51" s="10" t="str">
        <f t="shared" si="19"/>
        <v>p</v>
      </c>
      <c r="Q51" s="10" t="str">
        <f t="shared" si="24"/>
        <v>1_42</v>
      </c>
      <c r="R51" s="10" t="str">
        <f t="shared" si="21"/>
        <v>n</v>
      </c>
      <c r="S51" s="10" t="str">
        <f t="shared" si="25"/>
        <v>5_42</v>
      </c>
      <c r="T51" s="1" t="str">
        <f t="shared" si="26"/>
        <v xml:space="preserve">      !DATA (mDirSS(46,i),i=1,3) /n4_42,p1_42,n5_42/ !s.s. 46</v>
      </c>
    </row>
    <row r="52" spans="1:20" x14ac:dyDescent="0.25">
      <c r="A52">
        <v>3</v>
      </c>
      <c r="B52">
        <v>1</v>
      </c>
      <c r="C52" s="4">
        <v>2</v>
      </c>
      <c r="D52">
        <v>-1</v>
      </c>
      <c r="E52">
        <v>1</v>
      </c>
      <c r="F52" s="4">
        <v>1</v>
      </c>
      <c r="H52">
        <f t="shared" si="1"/>
        <v>1</v>
      </c>
      <c r="I52">
        <f t="shared" si="2"/>
        <v>5</v>
      </c>
      <c r="J52" s="1">
        <f t="shared" si="0"/>
        <v>-4</v>
      </c>
      <c r="L52" s="1">
        <f t="shared" si="3"/>
        <v>42</v>
      </c>
      <c r="M52" s="13">
        <v>47</v>
      </c>
      <c r="N52" s="10" t="str">
        <f t="shared" si="17"/>
        <v>p</v>
      </c>
      <c r="O52" s="10" t="str">
        <f t="shared" si="23"/>
        <v>1_42</v>
      </c>
      <c r="P52" s="10" t="str">
        <f t="shared" si="19"/>
        <v>p</v>
      </c>
      <c r="Q52" s="10" t="str">
        <f t="shared" si="24"/>
        <v>5_42</v>
      </c>
      <c r="R52" s="10" t="str">
        <f t="shared" si="21"/>
        <v>n</v>
      </c>
      <c r="S52" s="10" t="str">
        <f t="shared" si="25"/>
        <v>4_42</v>
      </c>
      <c r="T52" s="1" t="str">
        <f t="shared" si="26"/>
        <v xml:space="preserve">      !DATA (mDirSS(47,i),i=1,3) /p1_42,p5_42,n4_42/ !s.s. 47</v>
      </c>
    </row>
    <row r="53" spans="1:20" x14ac:dyDescent="0.25">
      <c r="A53">
        <v>3</v>
      </c>
      <c r="B53">
        <v>2</v>
      </c>
      <c r="C53" s="4">
        <v>1</v>
      </c>
      <c r="D53">
        <v>-1</v>
      </c>
      <c r="E53">
        <v>1</v>
      </c>
      <c r="F53" s="4">
        <v>1</v>
      </c>
      <c r="H53">
        <f t="shared" si="1"/>
        <v>-1</v>
      </c>
      <c r="I53">
        <f t="shared" si="2"/>
        <v>4</v>
      </c>
      <c r="J53" s="1">
        <f t="shared" si="0"/>
        <v>-5</v>
      </c>
      <c r="L53" s="1">
        <f t="shared" si="3"/>
        <v>42</v>
      </c>
      <c r="M53" s="13">
        <v>48</v>
      </c>
      <c r="N53" s="10" t="str">
        <f t="shared" si="17"/>
        <v>n</v>
      </c>
      <c r="O53" s="10" t="str">
        <f t="shared" si="23"/>
        <v>1_42</v>
      </c>
      <c r="P53" s="10" t="str">
        <f t="shared" si="19"/>
        <v>p</v>
      </c>
      <c r="Q53" s="10" t="str">
        <f t="shared" si="24"/>
        <v>4_42</v>
      </c>
      <c r="R53" s="10" t="str">
        <f t="shared" si="21"/>
        <v>n</v>
      </c>
      <c r="S53" s="10" t="str">
        <f t="shared" si="25"/>
        <v>5_42</v>
      </c>
      <c r="T53" s="1" t="str">
        <f t="shared" si="26"/>
        <v xml:space="preserve">      !DATA (mDirSS(48,i),i=1,3) /n1_42,p4_42,n5_42/ !s.s. 48</v>
      </c>
    </row>
  </sheetData>
  <mergeCells count="1">
    <mergeCell ref="H5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5" sqref="B5:B7"/>
    </sheetView>
  </sheetViews>
  <sheetFormatPr defaultRowHeight="15" x14ac:dyDescent="0.25"/>
  <cols>
    <col min="1" max="1" width="11.85546875" customWidth="1"/>
    <col min="2" max="2" width="32" style="14" customWidth="1"/>
  </cols>
  <sheetData>
    <row r="1" spans="1:2" x14ac:dyDescent="0.25">
      <c r="A1" s="1" t="s">
        <v>12</v>
      </c>
      <c r="B1" s="7">
        <f>1/SQRT(2)</f>
        <v>0.70710678118654746</v>
      </c>
    </row>
    <row r="2" spans="1:2" x14ac:dyDescent="0.25">
      <c r="A2" s="1" t="s">
        <v>11</v>
      </c>
      <c r="B2" s="7">
        <f>1/SQRT(3)</f>
        <v>0.57735026918962584</v>
      </c>
    </row>
    <row r="3" spans="1:2" x14ac:dyDescent="0.25">
      <c r="A3" s="1" t="s">
        <v>13</v>
      </c>
      <c r="B3" s="7">
        <f>1/SQRT(6)</f>
        <v>0.40824829046386307</v>
      </c>
    </row>
    <row r="4" spans="1:2" x14ac:dyDescent="0.25">
      <c r="A4" s="1" t="s">
        <v>14</v>
      </c>
      <c r="B4" s="7">
        <f>2/SQRT(6)</f>
        <v>0.81649658092772615</v>
      </c>
    </row>
    <row r="5" spans="1:2" x14ac:dyDescent="0.25">
      <c r="A5" s="1" t="s">
        <v>17</v>
      </c>
      <c r="B5" s="7">
        <f>1/SQRT(42)</f>
        <v>0.15430334996209191</v>
      </c>
    </row>
    <row r="6" spans="1:2" x14ac:dyDescent="0.25">
      <c r="A6" s="1" t="s">
        <v>18</v>
      </c>
      <c r="B6" s="7">
        <f>4/SQRT(42)</f>
        <v>0.61721339984836765</v>
      </c>
    </row>
    <row r="7" spans="1:2" x14ac:dyDescent="0.25">
      <c r="A7" s="1" t="s">
        <v>19</v>
      </c>
      <c r="B7" s="7">
        <f>5/SQRT(42)</f>
        <v>0.77151674981045948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L22" sqref="L22"/>
    </sheetView>
  </sheetViews>
  <sheetFormatPr defaultRowHeight="15" x14ac:dyDescent="0.25"/>
  <cols>
    <col min="1" max="1" width="13.42578125" customWidth="1"/>
    <col min="2" max="2" width="5.7109375" customWidth="1"/>
    <col min="4" max="4" width="9" customWidth="1"/>
    <col min="7" max="7" width="13.28515625" customWidth="1"/>
    <col min="10" max="10" width="3" style="29" customWidth="1"/>
    <col min="11" max="11" width="12.7109375" customWidth="1"/>
  </cols>
  <sheetData>
    <row r="1" spans="1:19" s="30" customFormat="1" ht="15.75" thickBot="1" x14ac:dyDescent="0.3">
      <c r="A1" s="30" t="s">
        <v>45</v>
      </c>
      <c r="J1" s="32"/>
      <c r="K1" s="30" t="s">
        <v>46</v>
      </c>
    </row>
    <row r="2" spans="1:19" x14ac:dyDescent="0.25">
      <c r="A2" s="15" t="s">
        <v>37</v>
      </c>
      <c r="B2" s="16"/>
      <c r="C2" s="17"/>
      <c r="D2" s="18" t="s">
        <v>38</v>
      </c>
      <c r="E2" s="16"/>
      <c r="F2" s="17"/>
      <c r="G2" s="19" t="s">
        <v>9</v>
      </c>
      <c r="H2" s="19"/>
      <c r="I2" s="20"/>
      <c r="K2" s="15" t="s">
        <v>37</v>
      </c>
      <c r="L2" s="16"/>
      <c r="M2" s="17"/>
      <c r="N2" s="18" t="s">
        <v>38</v>
      </c>
      <c r="O2" s="16"/>
      <c r="P2" s="17"/>
      <c r="Q2" s="34" t="s">
        <v>9</v>
      </c>
      <c r="R2" s="19"/>
      <c r="S2" s="20"/>
    </row>
    <row r="3" spans="1:19" ht="15.75" thickBot="1" x14ac:dyDescent="0.3">
      <c r="A3" s="21">
        <v>0</v>
      </c>
      <c r="B3" s="22">
        <v>1</v>
      </c>
      <c r="C3" s="23">
        <v>-1</v>
      </c>
      <c r="D3" s="22">
        <v>1</v>
      </c>
      <c r="E3" s="22">
        <v>1</v>
      </c>
      <c r="F3" s="23">
        <v>1</v>
      </c>
      <c r="G3" s="22">
        <f>E3*C3-F3*B3</f>
        <v>-2</v>
      </c>
      <c r="H3" s="22">
        <f>F3*A3-D3*C3</f>
        <v>1</v>
      </c>
      <c r="I3" s="24">
        <f>D3*B3-E3*A3</f>
        <v>1</v>
      </c>
      <c r="K3" s="21">
        <v>2</v>
      </c>
      <c r="L3" s="22">
        <v>-1</v>
      </c>
      <c r="M3" s="23">
        <v>-1</v>
      </c>
      <c r="N3" s="22">
        <v>1</v>
      </c>
      <c r="O3" s="22">
        <v>1</v>
      </c>
      <c r="P3" s="23">
        <v>1</v>
      </c>
      <c r="Q3" s="22">
        <f>(O3*M3-P3*L3)/3</f>
        <v>0</v>
      </c>
      <c r="R3" s="22">
        <f>(P3*K3-N3*M3)/3</f>
        <v>1</v>
      </c>
      <c r="S3" s="24">
        <f>(N3*L3-O3*K3)/3</f>
        <v>-1</v>
      </c>
    </row>
    <row r="4" spans="1:19" s="29" customFormat="1" ht="19.5" customHeight="1" x14ac:dyDescent="0.25">
      <c r="H4" s="29" t="s">
        <v>36</v>
      </c>
      <c r="R4" s="29" t="s">
        <v>36</v>
      </c>
    </row>
    <row r="5" spans="1:19" s="31" customFormat="1" x14ac:dyDescent="0.25">
      <c r="A5" s="31" t="s">
        <v>20</v>
      </c>
      <c r="J5" s="33"/>
      <c r="K5" s="31" t="s">
        <v>20</v>
      </c>
    </row>
    <row r="6" spans="1:19" x14ac:dyDescent="0.25">
      <c r="A6" t="s">
        <v>30</v>
      </c>
      <c r="B6" t="s">
        <v>36</v>
      </c>
      <c r="C6" s="25" t="s">
        <v>21</v>
      </c>
      <c r="D6" s="26" t="s">
        <v>22</v>
      </c>
      <c r="E6" t="s">
        <v>23</v>
      </c>
      <c r="K6" t="s">
        <v>30</v>
      </c>
      <c r="L6" t="s">
        <v>36</v>
      </c>
      <c r="M6" s="25" t="s">
        <v>21</v>
      </c>
      <c r="N6" s="26" t="s">
        <v>22</v>
      </c>
      <c r="O6" t="s">
        <v>23</v>
      </c>
    </row>
    <row r="7" spans="1:19" x14ac:dyDescent="0.25">
      <c r="A7" t="s">
        <v>31</v>
      </c>
      <c r="B7" t="s">
        <v>36</v>
      </c>
      <c r="C7" s="27" t="s">
        <v>24</v>
      </c>
      <c r="D7" s="4" t="s">
        <v>22</v>
      </c>
      <c r="E7" t="s">
        <v>23</v>
      </c>
      <c r="K7" t="s">
        <v>31</v>
      </c>
      <c r="L7" t="s">
        <v>36</v>
      </c>
      <c r="M7" s="27" t="s">
        <v>24</v>
      </c>
      <c r="N7" s="4" t="s">
        <v>22</v>
      </c>
      <c r="O7" t="s">
        <v>23</v>
      </c>
    </row>
    <row r="8" spans="1:19" x14ac:dyDescent="0.25">
      <c r="A8" t="s">
        <v>32</v>
      </c>
      <c r="B8" t="s">
        <v>36</v>
      </c>
      <c r="C8" s="27" t="s">
        <v>25</v>
      </c>
      <c r="D8" s="4" t="s">
        <v>22</v>
      </c>
      <c r="E8" t="s">
        <v>23</v>
      </c>
      <c r="K8" t="s">
        <v>32</v>
      </c>
      <c r="L8" t="s">
        <v>36</v>
      </c>
      <c r="M8" s="27" t="s">
        <v>25</v>
      </c>
      <c r="N8" s="4" t="s">
        <v>22</v>
      </c>
      <c r="O8" t="s">
        <v>23</v>
      </c>
    </row>
    <row r="9" spans="1:19" x14ac:dyDescent="0.25">
      <c r="A9" t="s">
        <v>33</v>
      </c>
      <c r="B9" t="s">
        <v>36</v>
      </c>
      <c r="C9" s="27" t="s">
        <v>26</v>
      </c>
      <c r="D9" s="4">
        <v>-0.81649655229931295</v>
      </c>
      <c r="E9" t="s">
        <v>23</v>
      </c>
      <c r="K9" t="s">
        <v>33</v>
      </c>
      <c r="L9" t="s">
        <v>36</v>
      </c>
      <c r="M9" s="27" t="s">
        <v>26</v>
      </c>
      <c r="N9" s="4">
        <v>-0.81649655229931295</v>
      </c>
      <c r="O9" t="s">
        <v>23</v>
      </c>
    </row>
    <row r="10" spans="1:19" x14ac:dyDescent="0.25">
      <c r="A10" t="s">
        <v>34</v>
      </c>
      <c r="B10" t="s">
        <v>36</v>
      </c>
      <c r="C10" s="27" t="s">
        <v>27</v>
      </c>
      <c r="D10" s="4">
        <v>0.81649655229931295</v>
      </c>
      <c r="E10" t="s">
        <v>23</v>
      </c>
      <c r="K10" t="s">
        <v>34</v>
      </c>
      <c r="L10" t="s">
        <v>36</v>
      </c>
      <c r="M10" s="27" t="s">
        <v>27</v>
      </c>
      <c r="N10" s="4">
        <v>0.81649655229931295</v>
      </c>
      <c r="O10" t="s">
        <v>23</v>
      </c>
    </row>
    <row r="11" spans="1:19" x14ac:dyDescent="0.25">
      <c r="A11" t="s">
        <v>35</v>
      </c>
      <c r="B11" t="s">
        <v>36</v>
      </c>
      <c r="C11" s="28" t="s">
        <v>28</v>
      </c>
      <c r="D11" s="5">
        <v>-0.81649655229931295</v>
      </c>
      <c r="E11" t="s">
        <v>23</v>
      </c>
      <c r="K11" t="s">
        <v>35</v>
      </c>
      <c r="L11" t="s">
        <v>36</v>
      </c>
      <c r="M11" s="28" t="s">
        <v>28</v>
      </c>
      <c r="N11" s="5">
        <v>-0.81649655229931295</v>
      </c>
      <c r="O11" t="s">
        <v>23</v>
      </c>
    </row>
    <row r="12" spans="1:19" s="29" customFormat="1" ht="19.5" customHeight="1" x14ac:dyDescent="0.25">
      <c r="H12" s="29" t="s">
        <v>36</v>
      </c>
      <c r="R12" s="29" t="s">
        <v>36</v>
      </c>
    </row>
    <row r="13" spans="1:19" s="31" customFormat="1" x14ac:dyDescent="0.25">
      <c r="A13" s="31" t="s">
        <v>29</v>
      </c>
      <c r="H13" s="31" t="s">
        <v>36</v>
      </c>
      <c r="J13" s="33"/>
      <c r="K13" s="31" t="s">
        <v>29</v>
      </c>
      <c r="R13" s="31" t="s">
        <v>36</v>
      </c>
    </row>
    <row r="14" spans="1:19" x14ac:dyDescent="0.25">
      <c r="A14" t="s">
        <v>30</v>
      </c>
      <c r="B14" t="s">
        <v>36</v>
      </c>
      <c r="C14" s="25" t="s">
        <v>21</v>
      </c>
      <c r="D14" s="26" t="s">
        <v>22</v>
      </c>
      <c r="E14" t="s">
        <v>23</v>
      </c>
      <c r="K14" t="s">
        <v>30</v>
      </c>
      <c r="L14" t="s">
        <v>36</v>
      </c>
      <c r="M14" s="25" t="s">
        <v>39</v>
      </c>
      <c r="N14" s="26">
        <v>0.999999965771458</v>
      </c>
      <c r="O14" t="s">
        <v>23</v>
      </c>
    </row>
    <row r="15" spans="1:19" x14ac:dyDescent="0.25">
      <c r="A15" t="s">
        <v>31</v>
      </c>
      <c r="B15" t="s">
        <v>36</v>
      </c>
      <c r="C15" s="27" t="s">
        <v>24</v>
      </c>
      <c r="D15" s="4">
        <v>0.86602542047923903</v>
      </c>
      <c r="E15" t="s">
        <v>23</v>
      </c>
      <c r="K15" t="s">
        <v>31</v>
      </c>
      <c r="L15" t="s">
        <v>36</v>
      </c>
      <c r="M15" s="27" t="s">
        <v>40</v>
      </c>
      <c r="N15" s="4">
        <v>-0.499999982885729</v>
      </c>
      <c r="O15" t="s">
        <v>23</v>
      </c>
    </row>
    <row r="16" spans="1:19" x14ac:dyDescent="0.25">
      <c r="A16" t="s">
        <v>32</v>
      </c>
      <c r="B16" t="s">
        <v>36</v>
      </c>
      <c r="C16" s="27" t="s">
        <v>25</v>
      </c>
      <c r="D16" s="4">
        <v>-0.86602542047923903</v>
      </c>
      <c r="E16" t="s">
        <v>23</v>
      </c>
      <c r="K16" t="s">
        <v>32</v>
      </c>
      <c r="L16" t="s">
        <v>36</v>
      </c>
      <c r="M16" s="27" t="s">
        <v>41</v>
      </c>
      <c r="N16" s="4">
        <v>-0.499999982885729</v>
      </c>
      <c r="O16" t="s">
        <v>23</v>
      </c>
    </row>
    <row r="17" spans="1:15" x14ac:dyDescent="0.25">
      <c r="A17" t="s">
        <v>33</v>
      </c>
      <c r="B17" t="s">
        <v>36</v>
      </c>
      <c r="C17" s="27" t="s">
        <v>26</v>
      </c>
      <c r="D17" s="4">
        <v>-0.57735028031949298</v>
      </c>
      <c r="E17" t="s">
        <v>23</v>
      </c>
      <c r="K17" t="s">
        <v>33</v>
      </c>
      <c r="L17" t="s">
        <v>36</v>
      </c>
      <c r="M17" s="27" t="s">
        <v>42</v>
      </c>
      <c r="N17" s="4" t="s">
        <v>22</v>
      </c>
      <c r="O17" t="s">
        <v>23</v>
      </c>
    </row>
    <row r="18" spans="1:15" x14ac:dyDescent="0.25">
      <c r="A18" t="s">
        <v>34</v>
      </c>
      <c r="B18" t="s">
        <v>36</v>
      </c>
      <c r="C18" s="27" t="s">
        <v>27</v>
      </c>
      <c r="D18" s="4">
        <v>-0.28867514015974599</v>
      </c>
      <c r="E18" t="s">
        <v>23</v>
      </c>
      <c r="K18" t="s">
        <v>34</v>
      </c>
      <c r="L18" t="s">
        <v>36</v>
      </c>
      <c r="M18" s="27" t="s">
        <v>43</v>
      </c>
      <c r="N18" s="4">
        <v>-0.499999982885729</v>
      </c>
      <c r="O18" t="s">
        <v>23</v>
      </c>
    </row>
    <row r="19" spans="1:15" x14ac:dyDescent="0.25">
      <c r="A19" t="s">
        <v>35</v>
      </c>
      <c r="B19" t="s">
        <v>36</v>
      </c>
      <c r="C19" s="28" t="s">
        <v>28</v>
      </c>
      <c r="D19" s="5">
        <v>0.28867514015974599</v>
      </c>
      <c r="E19" t="s">
        <v>23</v>
      </c>
      <c r="K19" t="s">
        <v>35</v>
      </c>
      <c r="L19" t="s">
        <v>36</v>
      </c>
      <c r="M19" s="28" t="s">
        <v>44</v>
      </c>
      <c r="N19" s="5">
        <v>-0.499999982885729</v>
      </c>
      <c r="O19" t="s">
        <v>23</v>
      </c>
    </row>
  </sheetData>
  <mergeCells count="4">
    <mergeCell ref="A2:C2"/>
    <mergeCell ref="D2:F2"/>
    <mergeCell ref="K2:M2"/>
    <mergeCell ref="N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BCC2.DAT</vt:lpstr>
      <vt:lpstr>floats</vt:lpstr>
      <vt:lpstr>s.s. 1 and 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Eyckens</dc:creator>
  <cp:lastModifiedBy>Philip Eyckens</cp:lastModifiedBy>
  <dcterms:created xsi:type="dcterms:W3CDTF">2013-05-16T11:33:51Z</dcterms:created>
  <dcterms:modified xsi:type="dcterms:W3CDTF">2013-05-17T10:46:34Z</dcterms:modified>
</cp:coreProperties>
</file>