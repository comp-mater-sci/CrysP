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Sheet1" sheetId="1" r:id="rId1"/>
    <sheet name="Sheet2" sheetId="2" r:id="rId2"/>
    <sheet name="Sheet3" sheetId="3" r:id="rId3"/>
  </sheets>
  <definedNames>
    <definedName name="alpha">Sheet2!$O$7</definedName>
    <definedName name="b">Sheet2!$O$5</definedName>
    <definedName name="f_ini">Sheet2!$O$2</definedName>
    <definedName name="G">Sheet2!$O$6</definedName>
    <definedName name="I">Sheet2!$O$10</definedName>
    <definedName name="Rcell">Sheet2!$O$11</definedName>
    <definedName name="ta_0">Sheet2!$O$9</definedName>
  </definedNames>
  <calcPr calcId="124519"/>
</workbook>
</file>

<file path=xl/calcChain.xml><?xml version="1.0" encoding="utf-8"?>
<calcChain xmlns="http://schemas.openxmlformats.org/spreadsheetml/2006/main">
  <c r="V17" i="2"/>
  <c r="W17"/>
  <c r="W16"/>
  <c r="X16"/>
  <c r="V16"/>
  <c r="R17"/>
  <c r="S17"/>
  <c r="S16"/>
  <c r="T16"/>
  <c r="R16"/>
  <c r="S10"/>
  <c r="W14" s="1"/>
  <c r="S6"/>
  <c r="S7"/>
  <c r="X13" s="1"/>
  <c r="A8"/>
  <c r="A9"/>
  <c r="A10"/>
  <c r="A11"/>
  <c r="A12"/>
  <c r="A13"/>
  <c r="A14"/>
  <c r="A15"/>
  <c r="A16"/>
  <c r="A17"/>
  <c r="A18"/>
  <c r="A19"/>
  <c r="A20"/>
  <c r="A7"/>
  <c r="S14"/>
  <c r="R14"/>
  <c r="T13"/>
  <c r="S13"/>
  <c r="R13"/>
  <c r="S9"/>
  <c r="V14" s="1"/>
  <c r="S5"/>
  <c r="V13" s="1"/>
  <c r="W13"/>
  <c r="T5"/>
  <c r="M10"/>
  <c r="P6"/>
  <c r="P7"/>
  <c r="P9"/>
  <c r="P10"/>
  <c r="P11"/>
  <c r="P5"/>
  <c r="O6"/>
  <c r="O5"/>
  <c r="M5"/>
  <c r="M6"/>
  <c r="M7"/>
  <c r="O7"/>
  <c r="M9"/>
  <c r="M11"/>
  <c r="G5" i="1" l="1"/>
  <c r="F5"/>
</calcChain>
</file>

<file path=xl/sharedStrings.xml><?xml version="1.0" encoding="utf-8"?>
<sst xmlns="http://schemas.openxmlformats.org/spreadsheetml/2006/main" count="136" uniqueCount="57">
  <si>
    <t>C:\Documents and Settings\u0050438\My Documents\abaqopt\BPE_DC06_absRMS(VIC3)\BPEident_RESULTS\BPEident_v04-results_DC06_IdentificationTests</t>
  </si>
  <si>
    <t>sM00_BPEf_DC06.i01</t>
  </si>
  <si>
    <t>* Material constants</t>
  </si>
  <si>
    <t>b</t>
  </si>
  <si>
    <t>[m]</t>
  </si>
  <si>
    <t>Magnitude of burgers vector</t>
  </si>
  <si>
    <t>G</t>
  </si>
  <si>
    <t>[MPa]</t>
  </si>
  <si>
    <t>Shear modulus</t>
  </si>
  <si>
    <t>alpha</t>
  </si>
  <si>
    <t>[/]</t>
  </si>
  <si>
    <t>Dislocation interaction parameter</t>
  </si>
  <si>
    <t>f</t>
  </si>
  <si>
    <t>Volume fraction of CBBs (Cell Block Boundaries)</t>
  </si>
  <si>
    <t>Initial critical resolved shear stress on all slip systems</t>
  </si>
  <si>
    <t>*5********************************************************</t>
  </si>
  <si>
    <t>* Material parameters  === BPEmono_DC06 === BPEm_DC06 (19950020)</t>
  </si>
  <si>
    <t>immobilization CBs</t>
  </si>
  <si>
    <t>recovery CBs</t>
  </si>
  <si>
    <t>immobilization CBBs</t>
  </si>
  <si>
    <t>recovery CBBs</t>
  </si>
  <si>
    <t>recovery of old CBBs and polarity of old CBBs</t>
  </si>
  <si>
    <t>1st coeff. micro shear band cut-through of old CBBs</t>
  </si>
  <si>
    <t>2nd coeff. micro shear band cut-through of old CBBs</t>
  </si>
  <si>
    <t>immobilization polarity CBBs</t>
  </si>
  <si>
    <t>recovery polarity CBBs</t>
  </si>
  <si>
    <t>recovery of polarity CBBs during bauschinger</t>
  </si>
  <si>
    <t>recovery of CBs due to reversal polarity flux</t>
  </si>
  <si>
    <t>tau_0</t>
  </si>
  <si>
    <t>I</t>
  </si>
  <si>
    <t>R</t>
  </si>
  <si>
    <t>I_wd</t>
  </si>
  <si>
    <t>R_wd</t>
  </si>
  <si>
    <t>R_ncg</t>
  </si>
  <si>
    <t>beta_1[/]</t>
  </si>
  <si>
    <t>beta_2[/]</t>
  </si>
  <si>
    <t>I_wp</t>
  </si>
  <si>
    <t>R_wp</t>
  </si>
  <si>
    <t>R_rev</t>
  </si>
  <si>
    <t>R_2</t>
  </si>
  <si>
    <t>Required PARAMS</t>
  </si>
  <si>
    <t>BPEmono_DC06 or BPEm_DC06</t>
  </si>
  <si>
    <t>beta_1</t>
  </si>
  <si>
    <t>beta_2</t>
  </si>
  <si>
    <t>C:\Documents and Settings\u0050438\My Documents\abaqopt\BPEmono_DC06_absRMS\results</t>
  </si>
  <si>
    <t>f_ini</t>
  </si>
  <si>
    <t>PEETERS</t>
  </si>
  <si>
    <t>DOUBLE VOCE</t>
  </si>
  <si>
    <t>TAU-III-1</t>
  </si>
  <si>
    <t>TAU-III-s</t>
  </si>
  <si>
    <t>THETA-1</t>
  </si>
  <si>
    <t>THETA-T</t>
  </si>
  <si>
    <t>overview_BPEmono_DC06_absRMS.xlsx</t>
  </si>
  <si>
    <t>ta_0</t>
  </si>
  <si>
    <t>Rcell</t>
  </si>
  <si>
    <t>TAU-IV-s</t>
  </si>
  <si>
    <t>=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</si>
</sst>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1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2" xfId="0" applyFont="1" applyFill="1" applyBorder="1"/>
    <xf numFmtId="0" fontId="3" fillId="3" borderId="4" xfId="0" applyFont="1" applyFill="1" applyBorder="1"/>
    <xf numFmtId="0" fontId="4" fillId="3" borderId="0" xfId="0" applyFont="1" applyFill="1" applyBorder="1"/>
    <xf numFmtId="11" fontId="3" fillId="3" borderId="0" xfId="0" applyNumberFormat="1" applyFont="1" applyFill="1" applyBorder="1"/>
    <xf numFmtId="0" fontId="3" fillId="3" borderId="6" xfId="0" applyFont="1" applyFill="1" applyBorder="1"/>
    <xf numFmtId="11" fontId="3" fillId="3" borderId="7" xfId="0" applyNumberFormat="1" applyFont="1" applyFill="1" applyBorder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Fill="1"/>
    <xf numFmtId="0" fontId="0" fillId="5" borderId="0" xfId="0" applyFill="1"/>
    <xf numFmtId="0" fontId="5" fillId="6" borderId="0" xfId="0" applyFont="1" applyFill="1" applyAlignment="1">
      <alignment horizontal="center"/>
    </xf>
    <xf numFmtId="0" fontId="5" fillId="6" borderId="0" xfId="0" applyFont="1" applyFill="1" applyAlignment="1"/>
    <xf numFmtId="0" fontId="1" fillId="7" borderId="0" xfId="0" applyFont="1" applyFill="1" applyAlignment="1">
      <alignment horizontal="center"/>
    </xf>
    <xf numFmtId="0" fontId="0" fillId="7" borderId="0" xfId="0" applyFill="1"/>
    <xf numFmtId="2" fontId="0" fillId="0" borderId="0" xfId="0" applyNumberFormat="1"/>
    <xf numFmtId="0" fontId="0" fillId="0" borderId="9" xfId="0" applyBorder="1"/>
    <xf numFmtId="0" fontId="0" fillId="0" borderId="10" xfId="0" applyBorder="1"/>
    <xf numFmtId="2" fontId="0" fillId="0" borderId="10" xfId="0" applyNumberFormat="1" applyBorder="1"/>
    <xf numFmtId="2" fontId="0" fillId="0" borderId="11" xfId="0" applyNumberFormat="1" applyBorder="1"/>
    <xf numFmtId="0" fontId="0" fillId="0" borderId="12" xfId="0" applyBorder="1"/>
    <xf numFmtId="0" fontId="0" fillId="0" borderId="13" xfId="0" applyBorder="1"/>
    <xf numFmtId="2" fontId="0" fillId="0" borderId="13" xfId="0" applyNumberFormat="1" applyBorder="1"/>
    <xf numFmtId="0" fontId="0" fillId="0" borderId="14" xfId="0" applyBorder="1"/>
    <xf numFmtId="1" fontId="2" fillId="3" borderId="2" xfId="0" applyNumberFormat="1" applyFont="1" applyFill="1" applyBorder="1" applyAlignment="1">
      <alignment horizontal="center" vertical="center" wrapText="1"/>
    </xf>
    <xf numFmtId="1" fontId="2" fillId="3" borderId="3" xfId="0" applyNumberFormat="1" applyFont="1" applyFill="1" applyBorder="1" applyAlignment="1">
      <alignment horizontal="center" vertical="center" wrapText="1"/>
    </xf>
    <xf numFmtId="1" fontId="2" fillId="3" borderId="0" xfId="0" applyNumberFormat="1" applyFont="1" applyFill="1" applyBorder="1" applyAlignment="1">
      <alignment horizontal="center" vertical="center" wrapText="1"/>
    </xf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7" xfId="0" applyNumberFormat="1" applyFont="1" applyFill="1" applyBorder="1" applyAlignment="1">
      <alignment horizontal="center" vertical="center" wrapText="1"/>
    </xf>
    <xf numFmtId="1" fontId="2" fillId="3" borderId="8" xfId="0" applyNumberFormat="1" applyFont="1" applyFill="1" applyBorder="1" applyAlignment="1">
      <alignment horizontal="center" vertical="center" wrapText="1"/>
    </xf>
    <xf numFmtId="11" fontId="0" fillId="3" borderId="0" xfId="0" applyNumberFormat="1" applyFill="1"/>
    <xf numFmtId="2" fontId="0" fillId="0" borderId="9" xfId="0" applyNumberFormat="1" applyBorder="1"/>
    <xf numFmtId="0" fontId="0" fillId="0" borderId="11" xfId="0" applyBorder="1"/>
    <xf numFmtId="2" fontId="0" fillId="0" borderId="1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2"/>
  <sheetViews>
    <sheetView workbookViewId="0">
      <selection activeCell="B12" sqref="B12:C22"/>
    </sheetView>
  </sheetViews>
  <sheetFormatPr defaultRowHeight="15"/>
  <cols>
    <col min="1" max="1" width="11" customWidth="1"/>
    <col min="3" max="3" width="7.7109375" customWidth="1"/>
    <col min="4" max="4" width="49.42578125" customWidth="1"/>
    <col min="5" max="5" width="1.85546875" customWidth="1"/>
  </cols>
  <sheetData>
    <row r="1" spans="1:7">
      <c r="A1" t="s">
        <v>0</v>
      </c>
    </row>
    <row r="2" spans="1:7">
      <c r="A2" t="s">
        <v>1</v>
      </c>
    </row>
    <row r="4" spans="1:7">
      <c r="A4" t="s">
        <v>2</v>
      </c>
      <c r="F4" s="2" t="s">
        <v>40</v>
      </c>
      <c r="G4" s="2"/>
    </row>
    <row r="5" spans="1:7">
      <c r="A5" s="1">
        <v>2.4800000000000002E-10</v>
      </c>
      <c r="B5" t="s">
        <v>3</v>
      </c>
      <c r="C5" t="s">
        <v>4</v>
      </c>
      <c r="D5" t="s">
        <v>5</v>
      </c>
      <c r="F5" s="1">
        <f>A5</f>
        <v>2.4800000000000002E-10</v>
      </c>
      <c r="G5" s="1" t="str">
        <f>B5</f>
        <v>b</v>
      </c>
    </row>
    <row r="6" spans="1:7">
      <c r="A6" s="1">
        <v>81600</v>
      </c>
      <c r="B6" t="s">
        <v>6</v>
      </c>
      <c r="C6" t="s">
        <v>7</v>
      </c>
      <c r="D6" t="s">
        <v>8</v>
      </c>
    </row>
    <row r="7" spans="1:7">
      <c r="A7">
        <v>0.2</v>
      </c>
      <c r="B7" t="s">
        <v>9</v>
      </c>
      <c r="C7" t="s">
        <v>10</v>
      </c>
      <c r="D7" t="s">
        <v>11</v>
      </c>
    </row>
    <row r="8" spans="1:7">
      <c r="A8">
        <v>0.2</v>
      </c>
      <c r="B8" t="s">
        <v>12</v>
      </c>
      <c r="C8" t="s">
        <v>10</v>
      </c>
      <c r="D8" t="s">
        <v>13</v>
      </c>
    </row>
    <row r="9" spans="1:7">
      <c r="A9">
        <v>53</v>
      </c>
      <c r="B9" t="s">
        <v>28</v>
      </c>
      <c r="C9" t="s">
        <v>7</v>
      </c>
      <c r="D9" t="s">
        <v>14</v>
      </c>
    </row>
    <row r="10" spans="1:7">
      <c r="A10" t="s">
        <v>15</v>
      </c>
    </row>
    <row r="11" spans="1:7">
      <c r="A11" t="s">
        <v>16</v>
      </c>
    </row>
    <row r="12" spans="1:7">
      <c r="A12" s="1">
        <v>2.12E-2</v>
      </c>
      <c r="B12" t="s">
        <v>29</v>
      </c>
      <c r="C12" t="s">
        <v>10</v>
      </c>
      <c r="D12" t="s">
        <v>17</v>
      </c>
    </row>
    <row r="13" spans="1:7">
      <c r="A13" s="1">
        <v>8.8900000000000003E-10</v>
      </c>
      <c r="B13" t="s">
        <v>30</v>
      </c>
      <c r="C13" t="s">
        <v>4</v>
      </c>
      <c r="D13" t="s">
        <v>18</v>
      </c>
    </row>
    <row r="14" spans="1:7">
      <c r="A14" s="1">
        <v>0.83699999999999997</v>
      </c>
      <c r="B14" t="s">
        <v>31</v>
      </c>
      <c r="C14" t="s">
        <v>10</v>
      </c>
      <c r="D14" t="s">
        <v>19</v>
      </c>
    </row>
    <row r="15" spans="1:7">
      <c r="A15" s="1">
        <v>2.66E-8</v>
      </c>
      <c r="B15" t="s">
        <v>32</v>
      </c>
      <c r="C15" t="s">
        <v>4</v>
      </c>
      <c r="D15" t="s">
        <v>20</v>
      </c>
    </row>
    <row r="16" spans="1:7">
      <c r="A16" s="1">
        <v>2.2699999999999998E-9</v>
      </c>
      <c r="B16" t="s">
        <v>33</v>
      </c>
      <c r="C16" t="s">
        <v>4</v>
      </c>
      <c r="D16" t="s">
        <v>21</v>
      </c>
    </row>
    <row r="17" spans="1:4">
      <c r="A17">
        <v>9.59</v>
      </c>
      <c r="B17" t="s">
        <v>34</v>
      </c>
      <c r="C17" t="s">
        <v>22</v>
      </c>
    </row>
    <row r="18" spans="1:4">
      <c r="A18">
        <v>1.07</v>
      </c>
      <c r="B18" t="s">
        <v>35</v>
      </c>
      <c r="C18" t="s">
        <v>23</v>
      </c>
    </row>
    <row r="19" spans="1:4">
      <c r="A19" s="1">
        <v>5.45E-2</v>
      </c>
      <c r="B19" t="s">
        <v>36</v>
      </c>
      <c r="C19" t="s">
        <v>10</v>
      </c>
      <c r="D19" t="s">
        <v>24</v>
      </c>
    </row>
    <row r="20" spans="1:4">
      <c r="A20" s="1">
        <v>1.44E-9</v>
      </c>
      <c r="B20" t="s">
        <v>37</v>
      </c>
      <c r="C20" t="s">
        <v>4</v>
      </c>
      <c r="D20" t="s">
        <v>25</v>
      </c>
    </row>
    <row r="21" spans="1:4">
      <c r="A21" s="1">
        <v>4.1199999999999998E-9</v>
      </c>
      <c r="B21" t="s">
        <v>38</v>
      </c>
      <c r="C21" t="s">
        <v>4</v>
      </c>
      <c r="D21" t="s">
        <v>26</v>
      </c>
    </row>
    <row r="22" spans="1:4">
      <c r="A22" s="1">
        <v>8.7000000000000001E-9</v>
      </c>
      <c r="B22" t="s">
        <v>39</v>
      </c>
      <c r="C22" t="s">
        <v>4</v>
      </c>
      <c r="D22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20"/>
  <sheetViews>
    <sheetView tabSelected="1" topLeftCell="K1" workbookViewId="0">
      <selection activeCell="S20" sqref="S20"/>
    </sheetView>
  </sheetViews>
  <sheetFormatPr defaultRowHeight="15"/>
  <cols>
    <col min="2" max="2" width="2.7109375" customWidth="1"/>
    <col min="12" max="12" width="19.5703125" customWidth="1"/>
    <col min="13" max="13" width="9.140625" style="10"/>
    <col min="17" max="17" width="3.28515625" style="17" customWidth="1"/>
    <col min="18" max="18" width="8.7109375" customWidth="1"/>
    <col min="21" max="21" width="2.140625" customWidth="1"/>
  </cols>
  <sheetData>
    <row r="1" spans="1:24">
      <c r="A1" s="13" t="s">
        <v>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N1" s="11"/>
      <c r="O1" s="11" t="s">
        <v>46</v>
      </c>
      <c r="P1" s="11"/>
      <c r="Q1" s="16"/>
      <c r="R1" s="11"/>
      <c r="S1" s="11" t="s">
        <v>47</v>
      </c>
      <c r="T1" s="11"/>
    </row>
    <row r="2" spans="1:24">
      <c r="A2" s="13" t="s">
        <v>52</v>
      </c>
      <c r="B2" s="13"/>
      <c r="C2" s="13"/>
      <c r="D2" s="13"/>
      <c r="E2" s="13"/>
      <c r="F2" s="13"/>
      <c r="G2" s="13"/>
      <c r="H2" s="13"/>
      <c r="I2" s="13"/>
      <c r="J2" s="13"/>
      <c r="K2" s="13"/>
      <c r="N2" s="14" t="s">
        <v>45</v>
      </c>
      <c r="O2" s="12">
        <v>2E-3</v>
      </c>
      <c r="P2" s="12" t="s">
        <v>10</v>
      </c>
    </row>
    <row r="5" spans="1:24">
      <c r="A5" s="1">
        <v>2.4800000000000002E-10</v>
      </c>
      <c r="B5" s="1" t="s">
        <v>56</v>
      </c>
      <c r="C5" t="s">
        <v>3</v>
      </c>
      <c r="D5" t="s">
        <v>4</v>
      </c>
      <c r="E5" t="s">
        <v>5</v>
      </c>
      <c r="M5" s="10" t="str">
        <f>C5</f>
        <v>b</v>
      </c>
      <c r="N5" s="15" t="s">
        <v>3</v>
      </c>
      <c r="O5" s="1">
        <f>A5</f>
        <v>2.4800000000000002E-10</v>
      </c>
      <c r="P5" t="str">
        <f>D5</f>
        <v>[m]</v>
      </c>
      <c r="R5" t="s">
        <v>48</v>
      </c>
      <c r="S5" s="18">
        <f>ta_0 + alpha*G*b*I*SQRT(f_ini)/Rcell</f>
        <v>64.718772527834318</v>
      </c>
      <c r="T5" t="str">
        <f>P6</f>
        <v>[MPa]</v>
      </c>
    </row>
    <row r="6" spans="1:24" ht="15.75" thickBot="1">
      <c r="A6" s="1">
        <v>81600</v>
      </c>
      <c r="B6" s="1" t="s">
        <v>56</v>
      </c>
      <c r="C6" t="s">
        <v>6</v>
      </c>
      <c r="D6" t="s">
        <v>7</v>
      </c>
      <c r="E6" t="s">
        <v>8</v>
      </c>
      <c r="M6" s="10" t="str">
        <f>C6</f>
        <v>G</v>
      </c>
      <c r="N6" s="14" t="s">
        <v>6</v>
      </c>
      <c r="O6" s="1">
        <f>A6</f>
        <v>81600</v>
      </c>
      <c r="P6" t="str">
        <f t="shared" ref="P6:P11" si="0">D6</f>
        <v>[MPa]</v>
      </c>
      <c r="R6" t="s">
        <v>49</v>
      </c>
      <c r="S6" s="18">
        <f>(S5+S7)/2</f>
        <v>109.77669703314793</v>
      </c>
      <c r="T6" t="s">
        <v>7</v>
      </c>
    </row>
    <row r="7" spans="1:24">
      <c r="A7" s="33">
        <f>J7</f>
        <v>0.2</v>
      </c>
      <c r="B7" s="1" t="s">
        <v>56</v>
      </c>
      <c r="C7" t="s">
        <v>9</v>
      </c>
      <c r="D7" t="s">
        <v>10</v>
      </c>
      <c r="I7" s="3" t="s">
        <v>9</v>
      </c>
      <c r="J7" s="4">
        <v>0.2</v>
      </c>
      <c r="K7" s="27" t="s">
        <v>41</v>
      </c>
      <c r="L7" s="28"/>
      <c r="M7" s="10" t="str">
        <f>I7</f>
        <v>alpha</v>
      </c>
      <c r="N7" s="14" t="s">
        <v>9</v>
      </c>
      <c r="O7">
        <f t="shared" ref="O7" si="1">J7</f>
        <v>0.2</v>
      </c>
      <c r="P7" t="str">
        <f t="shared" si="0"/>
        <v>[/]</v>
      </c>
      <c r="R7" t="s">
        <v>55</v>
      </c>
      <c r="S7" s="18">
        <f>ta_0 + alpha*G*b*I/Rcell</f>
        <v>154.83462153846153</v>
      </c>
      <c r="T7" t="s">
        <v>7</v>
      </c>
    </row>
    <row r="8" spans="1:24">
      <c r="A8" s="33">
        <f t="shared" ref="A8:A20" si="2">J8</f>
        <v>0</v>
      </c>
      <c r="B8" s="1" t="s">
        <v>56</v>
      </c>
      <c r="C8" t="s">
        <v>12</v>
      </c>
      <c r="D8" t="s">
        <v>10</v>
      </c>
      <c r="I8" s="5" t="s">
        <v>12</v>
      </c>
      <c r="J8" s="6">
        <v>0</v>
      </c>
      <c r="K8" s="29"/>
      <c r="L8" s="30"/>
      <c r="N8" s="14"/>
      <c r="S8" s="18"/>
    </row>
    <row r="9" spans="1:24">
      <c r="A9" s="33">
        <f t="shared" si="2"/>
        <v>60.53</v>
      </c>
      <c r="B9" s="1" t="s">
        <v>56</v>
      </c>
      <c r="C9" t="s">
        <v>28</v>
      </c>
      <c r="D9" t="s">
        <v>7</v>
      </c>
      <c r="I9" s="5" t="s">
        <v>28</v>
      </c>
      <c r="J9" s="7">
        <v>60.53</v>
      </c>
      <c r="K9" s="29"/>
      <c r="L9" s="30"/>
      <c r="M9" s="10" t="str">
        <f>I9</f>
        <v>tau_0</v>
      </c>
      <c r="N9" s="14" t="s">
        <v>53</v>
      </c>
      <c r="O9">
        <v>60.5</v>
      </c>
      <c r="P9" t="str">
        <f t="shared" si="0"/>
        <v>[MPa]</v>
      </c>
      <c r="R9" t="s">
        <v>50</v>
      </c>
      <c r="S9" s="18">
        <f>0.5*alpha*G*I*(1-SQRT(f_ini))</f>
        <v>236.19073329398265</v>
      </c>
      <c r="T9" t="s">
        <v>7</v>
      </c>
    </row>
    <row r="10" spans="1:24">
      <c r="A10" s="33">
        <f t="shared" si="2"/>
        <v>3.0259999999999999E-2</v>
      </c>
      <c r="B10" s="1" t="s">
        <v>56</v>
      </c>
      <c r="C10" t="s">
        <v>29</v>
      </c>
      <c r="D10" t="s">
        <v>10</v>
      </c>
      <c r="I10" s="5" t="s">
        <v>29</v>
      </c>
      <c r="J10" s="7">
        <v>3.0259999999999999E-2</v>
      </c>
      <c r="K10" s="29"/>
      <c r="L10" s="30"/>
      <c r="M10" s="10" t="str">
        <f>I10</f>
        <v>I</v>
      </c>
      <c r="N10" s="14" t="s">
        <v>29</v>
      </c>
      <c r="O10">
        <v>3.0300000000000001E-2</v>
      </c>
      <c r="P10" t="str">
        <f t="shared" si="0"/>
        <v>[/]</v>
      </c>
      <c r="R10" t="s">
        <v>51</v>
      </c>
      <c r="S10" s="18">
        <f>S9/2</f>
        <v>118.09536664699132</v>
      </c>
      <c r="T10" t="s">
        <v>7</v>
      </c>
    </row>
    <row r="11" spans="1:24">
      <c r="A11" s="33">
        <f t="shared" si="2"/>
        <v>1.2980000000000001E-9</v>
      </c>
      <c r="B11" s="1" t="s">
        <v>56</v>
      </c>
      <c r="C11" t="s">
        <v>30</v>
      </c>
      <c r="D11" t="s">
        <v>4</v>
      </c>
      <c r="I11" s="5" t="s">
        <v>30</v>
      </c>
      <c r="J11" s="7">
        <v>1.2980000000000001E-9</v>
      </c>
      <c r="K11" s="29"/>
      <c r="L11" s="30"/>
      <c r="M11" s="10" t="str">
        <f>I11</f>
        <v>R</v>
      </c>
      <c r="N11" s="14" t="s">
        <v>54</v>
      </c>
      <c r="O11" s="1">
        <v>1.3000000000000001E-9</v>
      </c>
      <c r="P11" t="str">
        <f t="shared" si="0"/>
        <v>[m]</v>
      </c>
    </row>
    <row r="12" spans="1:24">
      <c r="A12" s="33">
        <f t="shared" si="2"/>
        <v>0</v>
      </c>
      <c r="B12" s="1" t="s">
        <v>56</v>
      </c>
      <c r="C12" t="s">
        <v>31</v>
      </c>
      <c r="D12" t="s">
        <v>10</v>
      </c>
      <c r="I12" s="5" t="s">
        <v>31</v>
      </c>
      <c r="J12" s="7">
        <v>0</v>
      </c>
      <c r="K12" s="29"/>
      <c r="L12" s="30"/>
    </row>
    <row r="13" spans="1:24">
      <c r="A13" s="33">
        <f t="shared" si="2"/>
        <v>1.0000000000000001E-15</v>
      </c>
      <c r="B13" s="1" t="s">
        <v>56</v>
      </c>
      <c r="C13" t="s">
        <v>32</v>
      </c>
      <c r="D13" t="s">
        <v>4</v>
      </c>
      <c r="I13" s="5" t="s">
        <v>32</v>
      </c>
      <c r="J13" s="7">
        <v>1.0000000000000001E-15</v>
      </c>
      <c r="K13" s="29"/>
      <c r="L13" s="30"/>
      <c r="R13" s="19" t="str">
        <f>R5</f>
        <v>TAU-III-1</v>
      </c>
      <c r="S13" s="20" t="str">
        <f>R6</f>
        <v>TAU-III-s</v>
      </c>
      <c r="T13" s="20" t="str">
        <f>R7</f>
        <v>TAU-IV-s</v>
      </c>
      <c r="U13" s="20"/>
      <c r="V13" s="21">
        <f>S5</f>
        <v>64.718772527834318</v>
      </c>
      <c r="W13" s="21">
        <f>S6</f>
        <v>109.77669703314793</v>
      </c>
      <c r="X13" s="22">
        <f>S7</f>
        <v>154.83462153846153</v>
      </c>
    </row>
    <row r="14" spans="1:24">
      <c r="A14" s="33">
        <f t="shared" si="2"/>
        <v>0</v>
      </c>
      <c r="B14" s="1" t="s">
        <v>56</v>
      </c>
      <c r="C14" t="s">
        <v>33</v>
      </c>
      <c r="D14" t="s">
        <v>4</v>
      </c>
      <c r="I14" s="5" t="s">
        <v>33</v>
      </c>
      <c r="J14" s="7">
        <v>0</v>
      </c>
      <c r="K14" s="29"/>
      <c r="L14" s="30"/>
      <c r="R14" s="23" t="str">
        <f>R9</f>
        <v>THETA-1</v>
      </c>
      <c r="S14" s="24" t="str">
        <f>R10</f>
        <v>THETA-T</v>
      </c>
      <c r="T14" s="24"/>
      <c r="U14" s="24"/>
      <c r="V14" s="25">
        <f>S9</f>
        <v>236.19073329398265</v>
      </c>
      <c r="W14" s="25">
        <f>S10</f>
        <v>118.09536664699132</v>
      </c>
      <c r="X14" s="26"/>
    </row>
    <row r="15" spans="1:24">
      <c r="A15" s="33">
        <f t="shared" si="2"/>
        <v>0</v>
      </c>
      <c r="B15" s="1" t="s">
        <v>56</v>
      </c>
      <c r="C15" t="s">
        <v>34</v>
      </c>
      <c r="I15" s="5" t="s">
        <v>42</v>
      </c>
      <c r="J15" s="7">
        <v>0</v>
      </c>
      <c r="K15" s="29"/>
      <c r="L15" s="30"/>
    </row>
    <row r="16" spans="1:24">
      <c r="A16" s="33">
        <f t="shared" si="2"/>
        <v>0</v>
      </c>
      <c r="B16" s="1" t="s">
        <v>56</v>
      </c>
      <c r="C16" t="s">
        <v>35</v>
      </c>
      <c r="I16" s="5" t="s">
        <v>43</v>
      </c>
      <c r="J16" s="7">
        <v>0</v>
      </c>
      <c r="K16" s="29"/>
      <c r="L16" s="30"/>
      <c r="R16" s="34">
        <f>V13</f>
        <v>64.718772527834318</v>
      </c>
      <c r="S16" s="21">
        <f t="shared" ref="S16:T16" si="3">W13</f>
        <v>109.77669703314793</v>
      </c>
      <c r="T16" s="21">
        <f t="shared" si="3"/>
        <v>154.83462153846153</v>
      </c>
      <c r="U16" s="20"/>
      <c r="V16" s="20" t="str">
        <f>R13</f>
        <v>TAU-III-1</v>
      </c>
      <c r="W16" s="20" t="str">
        <f t="shared" ref="W16:X16" si="4">S13</f>
        <v>TAU-III-s</v>
      </c>
      <c r="X16" s="35" t="str">
        <f t="shared" si="4"/>
        <v>TAU-IV-s</v>
      </c>
    </row>
    <row r="17" spans="1:24">
      <c r="A17" s="33">
        <f t="shared" si="2"/>
        <v>0</v>
      </c>
      <c r="B17" s="1" t="s">
        <v>56</v>
      </c>
      <c r="C17" t="s">
        <v>36</v>
      </c>
      <c r="D17" t="s">
        <v>10</v>
      </c>
      <c r="I17" s="5" t="s">
        <v>36</v>
      </c>
      <c r="J17" s="7">
        <v>0</v>
      </c>
      <c r="K17" s="29"/>
      <c r="L17" s="30"/>
      <c r="R17" s="36">
        <f>V14</f>
        <v>236.19073329398265</v>
      </c>
      <c r="S17" s="25">
        <f t="shared" ref="S17" si="5">W14</f>
        <v>118.09536664699132</v>
      </c>
      <c r="T17" s="25"/>
      <c r="U17" s="24"/>
      <c r="V17" s="24" t="str">
        <f>R14</f>
        <v>THETA-1</v>
      </c>
      <c r="W17" s="24" t="str">
        <f t="shared" ref="W17" si="6">S14</f>
        <v>THETA-T</v>
      </c>
      <c r="X17" s="26"/>
    </row>
    <row r="18" spans="1:24">
      <c r="A18" s="33">
        <f t="shared" si="2"/>
        <v>1.0000000000000001E-15</v>
      </c>
      <c r="B18" s="1" t="s">
        <v>56</v>
      </c>
      <c r="C18" t="s">
        <v>37</v>
      </c>
      <c r="D18" t="s">
        <v>4</v>
      </c>
      <c r="I18" s="5" t="s">
        <v>37</v>
      </c>
      <c r="J18" s="7">
        <v>1.0000000000000001E-15</v>
      </c>
      <c r="K18" s="29"/>
      <c r="L18" s="30"/>
    </row>
    <row r="19" spans="1:24">
      <c r="A19" s="33">
        <f t="shared" si="2"/>
        <v>0</v>
      </c>
      <c r="B19" s="1" t="s">
        <v>56</v>
      </c>
      <c r="C19" t="s">
        <v>38</v>
      </c>
      <c r="D19" t="s">
        <v>4</v>
      </c>
      <c r="I19" s="5" t="s">
        <v>38</v>
      </c>
      <c r="J19" s="7">
        <v>0</v>
      </c>
      <c r="K19" s="29"/>
      <c r="L19" s="30"/>
    </row>
    <row r="20" spans="1:24" ht="15.75" thickBot="1">
      <c r="A20" s="33">
        <f t="shared" si="2"/>
        <v>0</v>
      </c>
      <c r="B20" s="1" t="s">
        <v>56</v>
      </c>
      <c r="C20" t="s">
        <v>39</v>
      </c>
      <c r="D20" t="s">
        <v>4</v>
      </c>
      <c r="I20" s="8" t="s">
        <v>39</v>
      </c>
      <c r="J20" s="9">
        <v>0</v>
      </c>
      <c r="K20" s="31"/>
      <c r="L20" s="32"/>
    </row>
  </sheetData>
  <mergeCells count="1">
    <mergeCell ref="K7:L2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Sheet1</vt:lpstr>
      <vt:lpstr>Sheet2</vt:lpstr>
      <vt:lpstr>Sheet3</vt:lpstr>
      <vt:lpstr>alpha</vt:lpstr>
      <vt:lpstr>b</vt:lpstr>
      <vt:lpstr>f_ini</vt:lpstr>
      <vt:lpstr>G</vt:lpstr>
      <vt:lpstr>I</vt:lpstr>
      <vt:lpstr>Rcell</vt:lpstr>
      <vt:lpstr>ta_0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2012-08-27T10:02:58Z</dcterms:modified>
</cp:coreProperties>
</file>